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Year2\P_ShootMeUp\ShootMeUp\"/>
    </mc:Choice>
  </mc:AlternateContent>
  <xr:revisionPtr revIDLastSave="0" documentId="13_ncr:1_{9745A76F-376E-48C9-ADD8-40BA041562DD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5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<sst xmlns="http://schemas.openxmlformats.org/spreadsheetml/2006/main" count="273" uniqueCount="74">
  <si>
    <t>Module :</t>
  </si>
  <si>
    <t>Classe :</t>
  </si>
  <si>
    <t>Lieu :</t>
  </si>
  <si>
    <t>Tâche</t>
  </si>
  <si>
    <t>Prénom - nom :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</si>
  <si>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</si>
  <si>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</si>
  <si>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</si>
  <si>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</si>
  <si>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</si>
  <si>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</si>
  <si>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</si>
  <si>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</si>
  <si>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</si>
  <si>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</si>
  <si>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</si>
  <si>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</si>
  <si>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</si>
  <si>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</si>
  <si>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</si>
  <si>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</si>
  <si>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</si>
  <si>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</si>
  <si>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Charles-henri Moser</t>
  </si>
  <si>
    <t>CID 2B</t>
  </si>
  <si>
    <t>Vennes</t>
  </si>
  <si>
    <t>Documentation</t>
  </si>
  <si>
    <t>DEV: Code</t>
  </si>
  <si>
    <t>UI/UX</t>
  </si>
  <si>
    <t>DataBase</t>
  </si>
  <si>
    <t>GitHub</t>
  </si>
  <si>
    <t>Module 106, 320, 322</t>
  </si>
  <si>
    <t>Max. 30</t>
  </si>
  <si>
    <t>STOP</t>
  </si>
  <si>
    <t>Lire et comprendre le CDC et la documentation présente afin de pouvoir commencer le projet</t>
  </si>
  <si>
    <t>Création du repository</t>
  </si>
  <si>
    <t>Explications: qu'est-ce qui se fait et comment ?</t>
  </si>
  <si>
    <t>Interface du jeu en WireFrame</t>
  </si>
  <si>
    <t>Création de la DataBase</t>
  </si>
  <si>
    <t>Remplir le journal de travail + rapport</t>
  </si>
  <si>
    <t>Lundi du jeûne</t>
  </si>
  <si>
    <t>Interface Haute fidelité</t>
  </si>
  <si>
    <t>Insertion des données</t>
  </si>
  <si>
    <t>Insertions des données</t>
  </si>
  <si>
    <t>Début du code: Menu Principal</t>
  </si>
  <si>
    <t>Joueur: déplacements, nombre de vies, Sprite</t>
  </si>
  <si>
    <t>Ennemis types: vies, minutage d'apparition, tir, sprite</t>
  </si>
  <si>
    <t>Obstacle: taille, position, Sprite, vie?</t>
  </si>
  <si>
    <t>Revue du Code: organisé, Compacté, Optimisé, testé, Commenté.</t>
  </si>
  <si>
    <t>Autre Option: HighScores</t>
  </si>
  <si>
    <t>Création de deux profils de joueurs sous forme de "Personas"</t>
  </si>
  <si>
    <t>Script SQL de création</t>
  </si>
  <si>
    <t>Vérifier tout les livrables: Introduction, Planification, Analyse Fonctionnelle, Maquettes, Schémas(DB, POO, diagrammes de classe), Manuel de référence des classes, Rapport de tests, journal de travail, Chapitre explicatif de l'usage fait de L'IA dans ce projet</t>
  </si>
  <si>
    <t>Vérification de la DataBase</t>
  </si>
  <si>
    <t>Vérification des Livrables demandés pour l'UI et UX</t>
  </si>
  <si>
    <t>Lire et comprendre la documentation afin de pouvoir commencer le projet</t>
  </si>
  <si>
    <t>Création du repository GitHub Avec installation de GitHub desktop</t>
  </si>
  <si>
    <t>Création du rapport et du journal de travail</t>
  </si>
  <si>
    <t>Explications: qu'est-ce qui se fait et comment ? + Théorie</t>
  </si>
  <si>
    <t>Théorie + début travail sur les "Personas"</t>
  </si>
  <si>
    <t>Création du MCD/MLD</t>
  </si>
  <si>
    <t>Comprehension d'un code Trouvé sur internet</t>
  </si>
  <si>
    <t>Début de mon code Sur Windows Forms</t>
  </si>
  <si>
    <t>Continuation des "Personas"</t>
  </si>
  <si>
    <t>Continuation du MCD/MLD</t>
  </si>
  <si>
    <t>Fin "Personas" et début maquette haute fidelité</t>
  </si>
  <si>
    <t>Implémentation d'un code basique, avion joueur, ennemis et balles</t>
  </si>
  <si>
    <t>Remplissage journal de travail + rapport</t>
  </si>
  <si>
    <t>Début 7 Wireframe</t>
  </si>
  <si>
    <t>code sql</t>
  </si>
  <si>
    <t>Creation de code</t>
  </si>
  <si>
    <t>Remplissage journal de travail + Rapport</t>
  </si>
  <si>
    <t>TEST SQL des commandes SELECT</t>
  </si>
  <si>
    <t>Documentations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</si>
</sst>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31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45532</v>
      </c>
      <c r="D9" s="59"/>
      <c r="E9" s="59"/>
      <c r="F9" s="59"/>
      <c r="G9" s="60"/>
    </row>
    <row r="10" spans="1:7" ht="20.25" x14ac:dyDescent="0.25">
      <c r="A10" s="58"/>
      <c r="B10" s="68" t="s">
        <v>7</v>
      </c>
      <c r="C10" s="69">
        <v>45597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10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/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18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19</v>
      </c>
      <c r="C20" s="80" t="s">
        <v>20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27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28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29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30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17</v>
      </c>
    </row>
    <row r="3" spans="1:4" ht="19.5" customHeight="1" x14ac:dyDescent="0.25">
      <c r="A3" s="19"/>
      <c r="B3" s="94" t="s">
        <v>20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67ADB-9C94-47DB-9395-0776FFB0D7FF}">
  <sheetPr codeName="Feuil9"/>
  <dimension ref="A1:H153"/>
  <sheetViews>
    <sheetView tabSelected="1" topLeftCell="A77" zoomScaleNormal="100" workbookViewId="0">
      <selection activeCell="C102" sqref="C10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45532</v>
      </c>
    </row>
    <row r="2" spans="1:4" ht="27.75" thickBot="1" x14ac:dyDescent="0.3">
      <c r="A2" s="45" t="s">
        <v>3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 t="s">
        <v>26</v>
      </c>
      <c r="B3" s="4">
        <v>1</v>
      </c>
      <c r="C3" s="89" t="s">
        <v>55</v>
      </c>
      <c r="D3" s="9"/>
    </row>
    <row r="4" spans="1:4" s="52" customFormat="1" x14ac:dyDescent="0.25">
      <c r="A4" s="1" t="s">
        <v>30</v>
      </c>
      <c r="B4" s="2">
        <v>2</v>
      </c>
      <c r="C4" s="90" t="s">
        <v>56</v>
      </c>
      <c r="D4" s="10"/>
    </row>
    <row r="5" spans="1:4" s="52" customFormat="1" x14ac:dyDescent="0.25">
      <c r="A5" s="1" t="s">
        <v>26</v>
      </c>
      <c r="B5" s="2">
        <v>6</v>
      </c>
      <c r="C5" s="90" t="s">
        <v>57</v>
      </c>
      <c r="D5" s="10"/>
    </row>
    <row r="6" spans="1:4" s="52" customFormat="1" x14ac:dyDescent="0.25">
      <c r="A6" s="1" t="s">
        <v>28</v>
      </c>
      <c r="B6" s="2">
        <v>8</v>
      </c>
      <c r="C6" s="90" t="s">
        <v>58</v>
      </c>
      <c r="D6" s="10"/>
    </row>
    <row r="7" spans="1:4" s="52" customFormat="1" x14ac:dyDescent="0.25">
      <c r="A7" s="1" t="s">
        <v>29</v>
      </c>
      <c r="B7" s="2">
        <v>5</v>
      </c>
      <c r="C7" s="90" t="s">
        <v>58</v>
      </c>
      <c r="D7" s="10"/>
    </row>
    <row r="8" spans="1:4" s="52" customFormat="1" x14ac:dyDescent="0.25">
      <c r="A8" s="1" t="s">
        <v>27</v>
      </c>
      <c r="B8" s="2">
        <v>8</v>
      </c>
      <c r="C8" s="90" t="s">
        <v>36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30</v>
      </c>
      <c r="C18" s="88" t="s">
        <v>32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13</v>
      </c>
      <c r="B20" s="43">
        <v>2</v>
      </c>
      <c r="C20" s="44" t="s">
        <v>22</v>
      </c>
      <c r="D20" s="53">
        <f>$D$1+7</f>
        <v>45539</v>
      </c>
    </row>
    <row r="21" spans="1:8" ht="27.75" thickBot="1" x14ac:dyDescent="0.3">
      <c r="A21" s="45" t="s">
        <v>3</v>
      </c>
      <c r="B21" s="46" t="s">
        <v>14</v>
      </c>
      <c r="C21" s="45" t="s">
        <v>6</v>
      </c>
      <c r="D21" s="45" t="s">
        <v>12</v>
      </c>
    </row>
    <row r="22" spans="1:8" x14ac:dyDescent="0.25">
      <c r="A22" s="5" t="s">
        <v>28</v>
      </c>
      <c r="B22" s="4">
        <v>8</v>
      </c>
      <c r="C22" s="89" t="s">
        <v>59</v>
      </c>
      <c r="D22" s="9"/>
    </row>
    <row r="23" spans="1:8" x14ac:dyDescent="0.25">
      <c r="A23" s="1" t="s">
        <v>29</v>
      </c>
      <c r="B23" s="2">
        <v>8</v>
      </c>
      <c r="C23" s="90" t="s">
        <v>60</v>
      </c>
      <c r="D23" s="10"/>
    </row>
    <row r="24" spans="1:8" x14ac:dyDescent="0.25">
      <c r="A24" s="1" t="s">
        <v>27</v>
      </c>
      <c r="B24" s="2">
        <v>12</v>
      </c>
      <c r="C24" s="90" t="s">
        <v>61</v>
      </c>
      <c r="D24" s="10"/>
    </row>
    <row r="25" spans="1:8" ht="12.75" customHeight="1" x14ac:dyDescent="0.25">
      <c r="A25" s="1" t="s">
        <v>26</v>
      </c>
      <c r="B25" s="2">
        <v>2</v>
      </c>
      <c r="C25" s="90" t="s">
        <v>39</v>
      </c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21</v>
      </c>
      <c r="B37" s="47">
        <f>SUM(B22:B36)</f>
        <v>30</v>
      </c>
      <c r="C37" s="88" t="s">
        <v>32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13</v>
      </c>
      <c r="B39" s="43">
        <v>3</v>
      </c>
      <c r="C39" s="44" t="s">
        <v>22</v>
      </c>
      <c r="D39" s="53">
        <f>$D$20+7</f>
        <v>45546</v>
      </c>
    </row>
    <row r="40" spans="1:8" ht="27.75" thickBot="1" x14ac:dyDescent="0.3">
      <c r="A40" s="45" t="s">
        <v>3</v>
      </c>
      <c r="B40" s="46" t="s">
        <v>14</v>
      </c>
      <c r="C40" s="45" t="s">
        <v>6</v>
      </c>
      <c r="D40" s="45" t="s">
        <v>12</v>
      </c>
    </row>
    <row r="41" spans="1:8" x14ac:dyDescent="0.25">
      <c r="A41" s="5" t="s">
        <v>28</v>
      </c>
      <c r="B41" s="4">
        <v>8</v>
      </c>
      <c r="C41" s="89" t="s">
        <v>63</v>
      </c>
      <c r="D41" s="9"/>
    </row>
    <row r="42" spans="1:8" x14ac:dyDescent="0.25">
      <c r="A42" s="1" t="s">
        <v>29</v>
      </c>
      <c r="B42" s="2">
        <v>8</v>
      </c>
      <c r="C42" s="90" t="s">
        <v>64</v>
      </c>
      <c r="D42" s="10"/>
    </row>
    <row r="43" spans="1:8" x14ac:dyDescent="0.25">
      <c r="A43" s="1" t="s">
        <v>27</v>
      </c>
      <c r="B43" s="2">
        <v>12</v>
      </c>
      <c r="C43" s="90" t="s">
        <v>62</v>
      </c>
      <c r="D43" s="10"/>
    </row>
    <row r="44" spans="1:8" x14ac:dyDescent="0.25">
      <c r="A44" s="1" t="s">
        <v>26</v>
      </c>
      <c r="B44" s="2">
        <v>2</v>
      </c>
      <c r="C44" s="90" t="s">
        <v>39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21</v>
      </c>
      <c r="B56" s="47">
        <f>SUM(B41:B55)</f>
        <v>30</v>
      </c>
      <c r="C56" s="88" t="s">
        <v>32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13</v>
      </c>
      <c r="B58" s="43">
        <v>4</v>
      </c>
      <c r="C58" s="44" t="s">
        <v>22</v>
      </c>
      <c r="D58" s="53">
        <f>$D$39+7</f>
        <v>45553</v>
      </c>
    </row>
    <row r="59" spans="1:4" ht="27.75" thickBot="1" x14ac:dyDescent="0.3">
      <c r="A59" s="45" t="s">
        <v>3</v>
      </c>
      <c r="B59" s="46" t="s">
        <v>14</v>
      </c>
      <c r="C59" s="45" t="s">
        <v>6</v>
      </c>
      <c r="D59" s="45" t="s">
        <v>12</v>
      </c>
    </row>
    <row r="60" spans="1:4" x14ac:dyDescent="0.25">
      <c r="A60" s="5" t="s">
        <v>28</v>
      </c>
      <c r="B60" s="4">
        <v>8</v>
      </c>
      <c r="C60" s="89" t="s">
        <v>65</v>
      </c>
      <c r="D60" s="9"/>
    </row>
    <row r="61" spans="1:4" x14ac:dyDescent="0.25">
      <c r="A61" s="1" t="s">
        <v>20</v>
      </c>
      <c r="B61" s="2">
        <v>8</v>
      </c>
      <c r="C61" s="90" t="s">
        <v>72</v>
      </c>
      <c r="D61" s="10"/>
    </row>
    <row r="62" spans="1:4" x14ac:dyDescent="0.25">
      <c r="A62" s="1" t="s">
        <v>27</v>
      </c>
      <c r="B62" s="2">
        <v>12</v>
      </c>
      <c r="C62" s="90" t="s">
        <v>66</v>
      </c>
      <c r="D62" s="10"/>
    </row>
    <row r="63" spans="1:4" x14ac:dyDescent="0.25">
      <c r="A63" s="1" t="s">
        <v>26</v>
      </c>
      <c r="B63" s="2">
        <v>2</v>
      </c>
      <c r="C63" s="90" t="s">
        <v>67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21</v>
      </c>
      <c r="B75" s="47">
        <f>SUM(B60:B74)</f>
        <v>30</v>
      </c>
      <c r="C75" s="88" t="s">
        <v>32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13</v>
      </c>
      <c r="B77" s="43">
        <v>5</v>
      </c>
      <c r="C77" s="44" t="s">
        <v>22</v>
      </c>
      <c r="D77" s="53">
        <f>$D$58+7</f>
        <v>45560</v>
      </c>
    </row>
    <row r="78" spans="1:4" ht="27.75" thickBot="1" x14ac:dyDescent="0.3">
      <c r="A78" s="45" t="s">
        <v>3</v>
      </c>
      <c r="B78" s="46" t="s">
        <v>14</v>
      </c>
      <c r="C78" s="45" t="s">
        <v>6</v>
      </c>
      <c r="D78" s="45" t="s">
        <v>12</v>
      </c>
    </row>
    <row r="79" spans="1:4" x14ac:dyDescent="0.25">
      <c r="A79" s="5" t="s">
        <v>28</v>
      </c>
      <c r="B79" s="4">
        <v>8</v>
      </c>
      <c r="C79" s="89" t="s">
        <v>68</v>
      </c>
      <c r="D79" s="9"/>
    </row>
    <row r="80" spans="1:4" x14ac:dyDescent="0.25">
      <c r="A80" s="1" t="s">
        <v>29</v>
      </c>
      <c r="B80" s="2">
        <v>8</v>
      </c>
      <c r="C80" s="90" t="s">
        <v>69</v>
      </c>
      <c r="D80" s="10"/>
    </row>
    <row r="81" spans="1:4" x14ac:dyDescent="0.25">
      <c r="A81" s="1" t="s">
        <v>27</v>
      </c>
      <c r="B81" s="2">
        <v>12</v>
      </c>
      <c r="C81" s="90" t="s">
        <v>70</v>
      </c>
      <c r="D81" s="10"/>
    </row>
    <row r="82" spans="1:4" x14ac:dyDescent="0.25">
      <c r="A82" s="1" t="s">
        <v>26</v>
      </c>
      <c r="B82" s="2">
        <v>2</v>
      </c>
      <c r="C82" s="90" t="s">
        <v>71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21</v>
      </c>
      <c r="B94" s="47">
        <f>SUM(B79:B93)</f>
        <v>30</v>
      </c>
      <c r="C94" s="88" t="s">
        <v>32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13</v>
      </c>
      <c r="B96" s="43">
        <v>6</v>
      </c>
      <c r="C96" s="44" t="s">
        <v>22</v>
      </c>
      <c r="D96" s="53">
        <f>$D$77+7</f>
        <v>45567</v>
      </c>
    </row>
    <row r="97" spans="1:4" ht="27.75" thickBot="1" x14ac:dyDescent="0.3">
      <c r="A97" s="45" t="s">
        <v>3</v>
      </c>
      <c r="B97" s="46" t="s">
        <v>14</v>
      </c>
      <c r="C97" s="45" t="s">
        <v>6</v>
      </c>
      <c r="D97" s="45" t="s">
        <v>12</v>
      </c>
    </row>
    <row r="98" spans="1:4" x14ac:dyDescent="0.25">
      <c r="A98" s="5" t="s">
        <v>29</v>
      </c>
      <c r="B98" s="4">
        <v>8</v>
      </c>
      <c r="C98" s="89" t="s">
        <v>73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21</v>
      </c>
      <c r="B113" s="47">
        <f>SUM(B98:B112)</f>
        <v>8</v>
      </c>
      <c r="C113" s="88" t="s">
        <v>32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13</v>
      </c>
      <c r="B115" s="43">
        <v>7</v>
      </c>
      <c r="C115" s="44" t="s">
        <v>22</v>
      </c>
      <c r="D115" s="53">
        <f>$D$96+7</f>
        <v>45574</v>
      </c>
    </row>
    <row r="116" spans="1:4" ht="27.75" thickBot="1" x14ac:dyDescent="0.3">
      <c r="A116" s="45" t="s">
        <v>3</v>
      </c>
      <c r="B116" s="46" t="s">
        <v>14</v>
      </c>
      <c r="C116" s="45" t="s">
        <v>6</v>
      </c>
      <c r="D116" s="45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21</v>
      </c>
      <c r="B132" s="47">
        <f>SUM(B117:B131)</f>
        <v>0</v>
      </c>
      <c r="C132" s="88" t="s">
        <v>32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13</v>
      </c>
      <c r="B134" s="43">
        <v>8</v>
      </c>
      <c r="C134" s="44" t="s">
        <v>22</v>
      </c>
      <c r="D134" s="53">
        <f>$D$115+7</f>
        <v>45581</v>
      </c>
    </row>
    <row r="135" spans="1:4" ht="27.75" thickBot="1" x14ac:dyDescent="0.3">
      <c r="A135" s="45" t="s">
        <v>3</v>
      </c>
      <c r="B135" s="46" t="s">
        <v>14</v>
      </c>
      <c r="C135" s="45" t="s">
        <v>6</v>
      </c>
      <c r="D135" s="45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21</v>
      </c>
      <c r="B151" s="47">
        <f>SUM(B136:B150)</f>
        <v>0</v>
      </c>
      <c r="C151" s="88" t="s">
        <v>32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33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B1205B5-CB22-4217-93E5-7ED877F47D1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06469882-DB33-4A1A-B41C-32AB36190BB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F133D9-9DE1-42E8-B8D1-202B53D3F040}">
      <formula1>0</formula1>
      <formula2>NbPerWeek * NbQuartPer</formula2>
    </dataValidation>
    <dataValidation type="list" allowBlank="1" showInputMessage="1" showErrorMessage="1" sqref="A3:A17 A22:A36 A41:A55 A60:A74 A79:A93 A98:A112 A117:A131 A136:A150" xr:uid="{0232288A-AF41-4D1C-8E45-5A0E60FA21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1393C-1395-4A74-8F35-F87C80406EE9}">
  <sheetPr codeName="Feuil5"/>
  <dimension ref="A1:H113"/>
  <sheetViews>
    <sheetView workbookViewId="0">
      <selection activeCell="C20" sqref="C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14</v>
      </c>
      <c r="C2" s="8" t="s">
        <v>6</v>
      </c>
      <c r="D2" s="8" t="s">
        <v>12</v>
      </c>
    </row>
    <row r="3" spans="1:4" s="52" customFormat="1" ht="27" x14ac:dyDescent="0.25">
      <c r="A3" s="5" t="s">
        <v>26</v>
      </c>
      <c r="B3" s="4">
        <v>3</v>
      </c>
      <c r="C3" s="89" t="s">
        <v>34</v>
      </c>
      <c r="D3" s="9"/>
    </row>
    <row r="4" spans="1:4" s="52" customFormat="1" x14ac:dyDescent="0.25">
      <c r="A4" s="1" t="s">
        <v>30</v>
      </c>
      <c r="B4" s="2">
        <v>3</v>
      </c>
      <c r="C4" s="90" t="s">
        <v>35</v>
      </c>
      <c r="D4" s="10"/>
    </row>
    <row r="5" spans="1:4" s="52" customFormat="1" x14ac:dyDescent="0.25">
      <c r="A5" s="1" t="s">
        <v>28</v>
      </c>
      <c r="B5" s="2">
        <v>9</v>
      </c>
      <c r="C5" s="90" t="s">
        <v>36</v>
      </c>
      <c r="D5" s="10"/>
    </row>
    <row r="6" spans="1:4" s="52" customFormat="1" x14ac:dyDescent="0.25">
      <c r="A6" s="1" t="s">
        <v>29</v>
      </c>
      <c r="B6" s="2">
        <v>3</v>
      </c>
      <c r="C6" s="90" t="s">
        <v>36</v>
      </c>
      <c r="D6" s="10"/>
    </row>
    <row r="7" spans="1:4" s="52" customFormat="1" x14ac:dyDescent="0.25">
      <c r="A7" s="1" t="s">
        <v>27</v>
      </c>
      <c r="B7" s="2">
        <v>12</v>
      </c>
      <c r="C7" s="90" t="s">
        <v>36</v>
      </c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30</v>
      </c>
      <c r="C13" s="86" t="s">
        <v>32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14</v>
      </c>
      <c r="C16" s="8" t="s">
        <v>6</v>
      </c>
      <c r="D16" s="8" t="s">
        <v>12</v>
      </c>
    </row>
    <row r="17" spans="1:8" x14ac:dyDescent="0.25">
      <c r="A17" s="5" t="s">
        <v>28</v>
      </c>
      <c r="B17" s="4">
        <v>8</v>
      </c>
      <c r="C17" s="89" t="s">
        <v>50</v>
      </c>
      <c r="D17" s="9"/>
    </row>
    <row r="18" spans="1:8" x14ac:dyDescent="0.25">
      <c r="A18" s="1" t="s">
        <v>29</v>
      </c>
      <c r="B18" s="2">
        <v>8</v>
      </c>
      <c r="C18" s="90" t="s">
        <v>38</v>
      </c>
      <c r="D18" s="10"/>
    </row>
    <row r="19" spans="1:8" x14ac:dyDescent="0.25">
      <c r="A19" s="1" t="s">
        <v>27</v>
      </c>
      <c r="B19" s="2">
        <v>12</v>
      </c>
      <c r="C19" s="90" t="s">
        <v>44</v>
      </c>
      <c r="D19" s="10"/>
    </row>
    <row r="20" spans="1:8" ht="12.75" customHeight="1" x14ac:dyDescent="0.25">
      <c r="A20" s="1" t="s">
        <v>26</v>
      </c>
      <c r="B20" s="2">
        <v>2</v>
      </c>
      <c r="C20" s="90" t="s">
        <v>39</v>
      </c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21</v>
      </c>
      <c r="B27" s="12">
        <f>SUM(B17:B26)</f>
        <v>30</v>
      </c>
      <c r="C27" s="86" t="s">
        <v>32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13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14</v>
      </c>
      <c r="C30" s="8" t="s">
        <v>6</v>
      </c>
      <c r="D30" s="8" t="s">
        <v>12</v>
      </c>
      <c r="F30" s="38"/>
      <c r="G30" s="39"/>
      <c r="H30" s="39"/>
    </row>
    <row r="31" spans="1:8" ht="14.25" x14ac:dyDescent="0.3">
      <c r="A31" s="5" t="s">
        <v>28</v>
      </c>
      <c r="B31" s="4">
        <v>8</v>
      </c>
      <c r="C31" s="89" t="s">
        <v>37</v>
      </c>
      <c r="D31" s="9"/>
      <c r="F31" s="40"/>
      <c r="G31" s="40"/>
      <c r="H31" s="40"/>
    </row>
    <row r="32" spans="1:8" x14ac:dyDescent="0.25">
      <c r="A32" s="1" t="s">
        <v>29</v>
      </c>
      <c r="B32" s="2">
        <v>8</v>
      </c>
      <c r="C32" s="90" t="s">
        <v>38</v>
      </c>
      <c r="D32" s="10"/>
    </row>
    <row r="33" spans="1:4" x14ac:dyDescent="0.25">
      <c r="A33" s="1" t="s">
        <v>27</v>
      </c>
      <c r="B33" s="2">
        <v>12</v>
      </c>
      <c r="C33" s="90" t="s">
        <v>45</v>
      </c>
      <c r="D33" s="10"/>
    </row>
    <row r="34" spans="1:4" x14ac:dyDescent="0.25">
      <c r="A34" s="1" t="s">
        <v>26</v>
      </c>
      <c r="B34" s="2">
        <v>2</v>
      </c>
      <c r="C34" s="90" t="s">
        <v>39</v>
      </c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21</v>
      </c>
      <c r="B41" s="12">
        <f>SUM(B31:B40)</f>
        <v>30</v>
      </c>
      <c r="C41" s="86" t="s">
        <v>32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13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14</v>
      </c>
      <c r="C44" s="8" t="s">
        <v>6</v>
      </c>
      <c r="D44" s="8" t="s">
        <v>12</v>
      </c>
    </row>
    <row r="45" spans="1:4" x14ac:dyDescent="0.25">
      <c r="A45" s="5" t="s">
        <v>20</v>
      </c>
      <c r="B45" s="4">
        <v>8</v>
      </c>
      <c r="C45" s="89" t="s">
        <v>40</v>
      </c>
      <c r="D45" s="9"/>
    </row>
    <row r="46" spans="1:4" x14ac:dyDescent="0.25">
      <c r="A46" s="1" t="s">
        <v>29</v>
      </c>
      <c r="B46" s="2">
        <v>8</v>
      </c>
      <c r="C46" s="90" t="s">
        <v>51</v>
      </c>
      <c r="D46" s="10"/>
    </row>
    <row r="47" spans="1:4" x14ac:dyDescent="0.25">
      <c r="A47" s="1" t="s">
        <v>27</v>
      </c>
      <c r="B47" s="2">
        <v>12</v>
      </c>
      <c r="C47" s="90" t="s">
        <v>46</v>
      </c>
      <c r="D47" s="10"/>
    </row>
    <row r="48" spans="1:4" x14ac:dyDescent="0.25">
      <c r="A48" s="1" t="s">
        <v>26</v>
      </c>
      <c r="B48" s="2">
        <v>2</v>
      </c>
      <c r="C48" s="90" t="s">
        <v>39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30</v>
      </c>
      <c r="C55" s="86" t="s">
        <v>32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14</v>
      </c>
      <c r="C58" s="8" t="s">
        <v>6</v>
      </c>
      <c r="D58" s="8" t="s">
        <v>12</v>
      </c>
    </row>
    <row r="59" spans="1:4" x14ac:dyDescent="0.25">
      <c r="A59" s="91" t="s">
        <v>28</v>
      </c>
      <c r="B59" s="4">
        <v>8</v>
      </c>
      <c r="C59" s="89" t="s">
        <v>41</v>
      </c>
      <c r="D59" s="9"/>
    </row>
    <row r="60" spans="1:4" x14ac:dyDescent="0.25">
      <c r="A60" s="1" t="s">
        <v>29</v>
      </c>
      <c r="B60" s="2">
        <v>8</v>
      </c>
      <c r="C60" s="90" t="s">
        <v>43</v>
      </c>
      <c r="D60" s="10"/>
    </row>
    <row r="61" spans="1:4" x14ac:dyDescent="0.25">
      <c r="A61" s="1" t="s">
        <v>27</v>
      </c>
      <c r="B61" s="2">
        <v>12</v>
      </c>
      <c r="C61" s="90" t="s">
        <v>47</v>
      </c>
      <c r="D61" s="10"/>
    </row>
    <row r="62" spans="1:4" x14ac:dyDescent="0.25">
      <c r="A62" s="1" t="s">
        <v>26</v>
      </c>
      <c r="B62" s="2">
        <v>2</v>
      </c>
      <c r="C62" s="90" t="s">
        <v>39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30</v>
      </c>
      <c r="C69" s="86" t="s">
        <v>32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14</v>
      </c>
      <c r="C72" s="8" t="s">
        <v>6</v>
      </c>
      <c r="D72" s="8" t="s">
        <v>12</v>
      </c>
    </row>
    <row r="73" spans="1:4" x14ac:dyDescent="0.25">
      <c r="A73" s="5" t="s">
        <v>28</v>
      </c>
      <c r="B73" s="4">
        <v>8</v>
      </c>
      <c r="C73" s="89" t="s">
        <v>41</v>
      </c>
      <c r="D73" s="9"/>
    </row>
    <row r="74" spans="1:4" x14ac:dyDescent="0.25">
      <c r="A74" s="1" t="s">
        <v>29</v>
      </c>
      <c r="B74" s="2">
        <v>9</v>
      </c>
      <c r="C74" s="90" t="s">
        <v>42</v>
      </c>
      <c r="D74" s="10"/>
    </row>
    <row r="75" spans="1:4" x14ac:dyDescent="0.25">
      <c r="A75" s="1" t="s">
        <v>27</v>
      </c>
      <c r="B75" s="2">
        <v>12</v>
      </c>
      <c r="C75" s="90" t="s">
        <v>49</v>
      </c>
      <c r="D75" s="10"/>
    </row>
    <row r="76" spans="1:4" x14ac:dyDescent="0.25">
      <c r="A76" s="1" t="s">
        <v>26</v>
      </c>
      <c r="B76" s="2">
        <v>1</v>
      </c>
      <c r="C76" s="90" t="s">
        <v>39</v>
      </c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30</v>
      </c>
      <c r="C83" s="86" t="s">
        <v>32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14</v>
      </c>
      <c r="C86" s="8" t="s">
        <v>6</v>
      </c>
      <c r="D86" s="8" t="s">
        <v>12</v>
      </c>
    </row>
    <row r="87" spans="1:4" x14ac:dyDescent="0.25">
      <c r="A87" s="5" t="s">
        <v>28</v>
      </c>
      <c r="B87" s="4">
        <v>8</v>
      </c>
      <c r="C87" s="89" t="s">
        <v>41</v>
      </c>
      <c r="D87" s="9"/>
    </row>
    <row r="88" spans="1:4" x14ac:dyDescent="0.25">
      <c r="A88" s="1" t="s">
        <v>29</v>
      </c>
      <c r="B88" s="2">
        <v>8</v>
      </c>
      <c r="C88" s="90" t="s">
        <v>42</v>
      </c>
      <c r="D88" s="10"/>
    </row>
    <row r="89" spans="1:4" x14ac:dyDescent="0.25">
      <c r="A89" s="1" t="s">
        <v>27</v>
      </c>
      <c r="B89" s="2">
        <v>12</v>
      </c>
      <c r="C89" s="90" t="s">
        <v>48</v>
      </c>
      <c r="D89" s="10"/>
    </row>
    <row r="90" spans="1:4" x14ac:dyDescent="0.25">
      <c r="A90" s="1" t="s">
        <v>26</v>
      </c>
      <c r="B90" s="2">
        <v>2</v>
      </c>
      <c r="C90" s="90" t="s">
        <v>39</v>
      </c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30</v>
      </c>
      <c r="C97" s="86" t="s">
        <v>32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5"/>
    </row>
    <row r="100" spans="1:4" ht="27.75" thickBot="1" x14ac:dyDescent="0.3">
      <c r="A100" s="8" t="s">
        <v>3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 t="s">
        <v>28</v>
      </c>
      <c r="B101" s="4">
        <v>8</v>
      </c>
      <c r="C101" s="89" t="s">
        <v>54</v>
      </c>
      <c r="D101" s="9"/>
    </row>
    <row r="102" spans="1:4" x14ac:dyDescent="0.25">
      <c r="A102" s="1" t="s">
        <v>29</v>
      </c>
      <c r="B102" s="2">
        <v>8</v>
      </c>
      <c r="C102" s="90" t="s">
        <v>53</v>
      </c>
      <c r="D102" s="10"/>
    </row>
    <row r="103" spans="1:4" x14ac:dyDescent="0.25">
      <c r="A103" s="1" t="s">
        <v>27</v>
      </c>
      <c r="B103" s="2">
        <v>8</v>
      </c>
      <c r="C103" s="90" t="s">
        <v>48</v>
      </c>
      <c r="D103" s="10"/>
    </row>
    <row r="104" spans="1:4" ht="40.5" x14ac:dyDescent="0.25">
      <c r="A104" s="1" t="s">
        <v>26</v>
      </c>
      <c r="B104" s="2">
        <v>6</v>
      </c>
      <c r="C104" s="90" t="s">
        <v>52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30</v>
      </c>
      <c r="C111" s="86" t="s">
        <v>32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33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55579268-3D13-4D1E-A3A1-D35C8F0E730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C554360-6D98-41E5-8185-2287074F2C0B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00B09EA-0C64-4E65-8614-4F9F5CA2A23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FFA08AB-A607-4AC5-805D-84455AD6342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3" ma:contentTypeDescription="Crée un document." ma:contentTypeScope="" ma:versionID="428a67bf6f341cc20b129d6ead09f800">
  <xsd:schema xmlns:xsd="http://www.w3.org/2001/XMLSchema" xmlns:xs="http://www.w3.org/2001/XMLSchema" xmlns:p="http://schemas.microsoft.com/office/2006/metadata/properties" xmlns:ns2="99ffe1f3-7857-457f-add0-5bdef636f38d" targetNamespace="http://schemas.microsoft.com/office/2006/metadata/properties" ma:root="true" ma:fieldsID="2463798d45d9f126bcf7449a921263da" ns2:_=""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2ED14A-152C-4DBE-9A8F-550CC865A4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E2DE16E-A9A4-4494-A12E-1545E36257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77A6C8-6DAD-4B68-9E62-F702DEC3ED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Charles-Henri Moser</dc:creator>
  <cp:lastModifiedBy>Charles-Henri Pascal Moser</cp:lastModifiedBy>
  <cp:lastPrinted>2013-08-29T11:33:15Z</cp:lastPrinted>
  <dcterms:created xsi:type="dcterms:W3CDTF">1996-10-21T11:03:58Z</dcterms:created>
  <dcterms:modified xsi:type="dcterms:W3CDTF">2024-10-02T09:25:50Z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