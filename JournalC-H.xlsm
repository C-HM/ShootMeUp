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731" codeName="{172E4E1F-E5EF-0DF4-AAB5-FFAA808CBF94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D:\PROJETS\Year2\P_ShootMeUp\ShootMeUp\"/>
    </mc:Choice>
  </mc:AlternateContent>
  <xr:revisionPtr revIDLastSave="0" documentId="13_ncr:1_{6A495E83-7391-4D07-A580-FCC9D74E4C24}" xr6:coauthVersionLast="47" xr6:coauthVersionMax="47" xr10:uidLastSave="{00000000-0000-0000-0000-000000000000}"/>
  <bookViews>
    <workbookView xWindow="29940" yWindow="2115" windowWidth="21600" windowHeight="11385" activeTab="5" xr2:uid="{00000000-000D-0000-FFFF-FFFF00000000}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  <sheet name="JNLTRAV" sheetId="156" r:id="rId6"/>
    <sheet name="Planning" sheetId="155" r:id="rId7"/>
  </sheets>
  <definedNames>
    <definedName name="datDateBegin">Donnees!$C$9</definedName>
    <definedName name="ListTasks">#REF!</definedName>
    <definedName name="lstTasks">Donnees!$C$20:$C$45</definedName>
    <definedName name="NbLessons">#REF!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6">Planning!$A$1:$D$14</definedName>
    <definedName name="objPlanifWeek">PlanificationWeek!$A$1:$D$14</definedName>
    <definedName name="objRealizedWeek" localSheetId="4">achievementWeek!$A$1:$D$19</definedName>
    <definedName name="objRealizedWeek" localSheetId="5">JNLTRAV!$A$1:$D$19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34" i="156" l="1"/>
  <c r="D115" i="156"/>
  <c r="D96" i="156"/>
  <c r="D77" i="156"/>
  <c r="D58" i="156"/>
  <c r="D39" i="156"/>
  <c r="D20" i="156"/>
  <c r="D1" i="156"/>
  <c r="B151" i="156"/>
  <c r="B132" i="156"/>
  <c r="B113" i="156"/>
  <c r="B94" i="156"/>
  <c r="B75" i="156"/>
  <c r="B56" i="156"/>
  <c r="B37" i="156"/>
  <c r="B18" i="156"/>
  <c r="B111" i="155"/>
  <c r="B97" i="155"/>
  <c r="B83" i="155"/>
  <c r="B69" i="155"/>
  <c r="B55" i="155"/>
  <c r="B41" i="155"/>
  <c r="B27" i="155"/>
  <c r="B13" i="155"/>
  <c r="B18" i="154"/>
  <c r="B13" i="11" l="1"/>
</calcChain>
</file>

<file path=xl/sharedStrings.xml><?xml version="1.0" encoding="utf-8"?>
<sst xmlns="http://schemas.openxmlformats.org/spreadsheetml/2006/main" count="263" uniqueCount="69">
  <si>
    <t>Module :</t>
  </si>
  <si>
    <t>Classe :</t>
  </si>
  <si>
    <t>Lieu :</t>
  </si>
  <si>
    <t>Tâche</t>
  </si>
  <si>
    <t>Prénom - nom :</t>
  </si>
  <si>
    <t>Tâches - objectifs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</si>
  <si>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</si>
  <si>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</si>
  <si>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</si>
  <si>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</si>
  <si>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</si>
  <si>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</si>
  <si>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</si>
  <si>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</si>
  <si>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</si>
  <si>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</si>
  <si>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</si>
  <si>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</si>
  <si>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</si>
  <si>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</si>
  <si>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</si>
  <si>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</si>
  <si>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</si>
  <si>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Charles-henri Moser</t>
  </si>
  <si>
    <t>CID 2B</t>
  </si>
  <si>
    <t>Vennes</t>
  </si>
  <si>
    <t>Documentation</t>
  </si>
  <si>
    <t>DEV: Code</t>
  </si>
  <si>
    <t>UI/UX</t>
  </si>
  <si>
    <t>DataBase</t>
  </si>
  <si>
    <t>GitHub</t>
  </si>
  <si>
    <t>Module 106, 320, 322</t>
  </si>
  <si>
    <t>Max. 30</t>
  </si>
  <si>
    <t>STOP</t>
  </si>
  <si>
    <t>Lire et comprendre le CDC et la documentation présente afin de pouvoir commencer le projet</t>
  </si>
  <si>
    <t>Création du repository</t>
  </si>
  <si>
    <t>Explications: qu'est-ce qui se fait et comment ?</t>
  </si>
  <si>
    <t>Interface du jeu en WireFrame</t>
  </si>
  <si>
    <t>Création de la DataBase</t>
  </si>
  <si>
    <t>Remplir le journal de travail + rapport</t>
  </si>
  <si>
    <t>Lundi du jeûne</t>
  </si>
  <si>
    <t>Interface Haute fidelité</t>
  </si>
  <si>
    <t>Insertion des données</t>
  </si>
  <si>
    <t>Insertions des données</t>
  </si>
  <si>
    <t>Début du code: Menu Principal</t>
  </si>
  <si>
    <t>Joueur: déplacements, nombre de vies, Sprite</t>
  </si>
  <si>
    <t>Ennemis types: vies, minutage d'apparition, tir, sprite</t>
  </si>
  <si>
    <t>Obstacle: taille, position, Sprite, vie?</t>
  </si>
  <si>
    <t>Revue du Code: organisé, Compacté, Optimisé, testé, Commenté.</t>
  </si>
  <si>
    <t>Autre Option: HighScores</t>
  </si>
  <si>
    <t>Création de deux profils de joueurs sous forme de "Personas"</t>
  </si>
  <si>
    <t>Script SQL de création</t>
  </si>
  <si>
    <t>Vérifier tout les livrables: Introduction, Planification, Analyse Fonctionnelle, Maquettes, Schémas(DB, POO, diagrammes de classe), Manuel de référence des classes, Rapport de tests, journal de travail, Chapitre explicatif de l'usage fait de L'IA dans ce projet</t>
  </si>
  <si>
    <t>Vérification de la DataBase</t>
  </si>
  <si>
    <t>Vérification des Livrables demandés pour l'UI et UX</t>
  </si>
  <si>
    <t>Lire et comprendre la documentation afin de pouvoir commencer le projet</t>
  </si>
  <si>
    <t>Création du repository GitHub Avec installation de GitHub desktop</t>
  </si>
  <si>
    <t>Création du rapport et du journal de travail</t>
  </si>
  <si>
    <t>Explications: qu'est-ce qui se fait et comment ? + Théorie</t>
  </si>
  <si>
    <t>Théorie + début travail sur les "Personas"</t>
  </si>
  <si>
    <t>Création du MCD/MLD</t>
  </si>
  <si>
    <t>Comprehension d'un code Trouvé sur internet</t>
  </si>
  <si>
    <t>Début de mon code Sur Windows Forms</t>
  </si>
  <si>
    <t>Continuation des "Personas"</t>
  </si>
  <si>
    <t>Continuation du MCD/MLD</t>
  </si>
  <si>
    <t>Fin "Personas" et début maquette haute fidelité</t>
  </si>
  <si>
    <t>Test SQL des commandes SELECT</t>
  </si>
  <si>
    <t>Implémentation d'un code basique, avion joueur, ennemis et balles</t>
  </si>
  <si>
    <t>Remplissage journal de travail + rapport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</si>
</sst>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17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96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Border="1" applyAlignment="1" applyProtection="1">
      <alignment horizontal="center" vertical="center" wrapText="1"/>
      <protection locked="0"/>
    </xf>
    <xf numFmtId="0" fontId="8" fillId="0" borderId="3" xfId="0" applyFont="1" applyBorder="1" applyAlignment="1" applyProtection="1">
      <alignment horizontal="center" vertical="center" wrapText="1"/>
      <protection locked="0"/>
    </xf>
    <xf numFmtId="0" fontId="8" fillId="0" borderId="1" xfId="0" applyFont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>
      <alignment horizontal="center" vertical="center"/>
    </xf>
    <xf numFmtId="0" fontId="7" fillId="2" borderId="12" xfId="0" quotePrefix="1" applyFont="1" applyFill="1" applyBorder="1" applyAlignment="1">
      <alignment horizontal="centerContinuous" vertical="center"/>
    </xf>
    <xf numFmtId="0" fontId="6" fillId="3" borderId="15" xfId="0" applyFont="1" applyFill="1" applyBorder="1" applyAlignment="1">
      <alignment horizontal="center" vertical="center"/>
    </xf>
    <xf numFmtId="0" fontId="8" fillId="0" borderId="1" xfId="0" applyFont="1" applyBorder="1" applyAlignment="1" applyProtection="1">
      <alignment horizontal="left" vertical="top" wrapText="1"/>
      <protection locked="0"/>
    </xf>
    <xf numFmtId="0" fontId="8" fillId="0" borderId="2" xfId="0" applyFont="1" applyBorder="1" applyAlignment="1" applyProtection="1">
      <alignment horizontal="left" vertical="top" wrapText="1"/>
      <protection locked="0"/>
    </xf>
    <xf numFmtId="0" fontId="8" fillId="0" borderId="3" xfId="0" applyFont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>
      <alignment horizontal="center" vertical="center" wrapText="1"/>
    </xf>
    <xf numFmtId="0" fontId="8" fillId="4" borderId="13" xfId="0" applyFont="1" applyFill="1" applyBorder="1" applyAlignment="1">
      <alignment horizontal="left" vertical="top" wrapText="1"/>
    </xf>
    <xf numFmtId="0" fontId="10" fillId="5" borderId="0" xfId="0" applyFont="1" applyFill="1" applyAlignment="1">
      <alignment horizontal="center"/>
    </xf>
    <xf numFmtId="0" fontId="3" fillId="6" borderId="15" xfId="0" applyFont="1" applyFill="1" applyBorder="1" applyAlignment="1">
      <alignment horizontal="center" vertical="center" wrapText="1"/>
    </xf>
    <xf numFmtId="1" fontId="2" fillId="7" borderId="27" xfId="0" applyNumberFormat="1" applyFont="1" applyFill="1" applyBorder="1" applyAlignment="1">
      <alignment horizontal="center" vertical="center"/>
    </xf>
    <xf numFmtId="0" fontId="6" fillId="2" borderId="14" xfId="0" applyFont="1" applyFill="1" applyBorder="1" applyAlignment="1">
      <alignment horizontal="right" vertical="center"/>
    </xf>
    <xf numFmtId="0" fontId="11" fillId="3" borderId="15" xfId="0" applyFont="1" applyFill="1" applyBorder="1" applyAlignment="1">
      <alignment horizontal="center" vertical="center" wrapText="1"/>
    </xf>
    <xf numFmtId="0" fontId="0" fillId="9" borderId="9" xfId="0" applyFill="1" applyBorder="1"/>
    <xf numFmtId="0" fontId="0" fillId="9" borderId="0" xfId="0" applyFill="1"/>
    <xf numFmtId="0" fontId="0" fillId="9" borderId="5" xfId="0" applyFill="1" applyBorder="1"/>
    <xf numFmtId="1" fontId="2" fillId="7" borderId="28" xfId="0" applyNumberFormat="1" applyFont="1" applyFill="1" applyBorder="1" applyAlignment="1">
      <alignment horizontal="center" vertical="center"/>
    </xf>
    <xf numFmtId="0" fontId="3" fillId="6" borderId="15" xfId="0" applyFont="1" applyFill="1" applyBorder="1" applyAlignment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>
      <alignment horizontal="right" vertical="center" wrapText="1" indent="1"/>
    </xf>
    <xf numFmtId="0" fontId="3" fillId="10" borderId="31" xfId="0" applyFont="1" applyFill="1" applyBorder="1" applyAlignment="1">
      <alignment horizontal="right" vertical="center" indent="1"/>
    </xf>
    <xf numFmtId="1" fontId="3" fillId="10" borderId="29" xfId="0" applyNumberFormat="1" applyFont="1" applyFill="1" applyBorder="1" applyAlignment="1">
      <alignment horizontal="center" vertical="center"/>
    </xf>
    <xf numFmtId="1" fontId="3" fillId="10" borderId="32" xfId="0" applyNumberFormat="1" applyFont="1" applyFill="1" applyBorder="1" applyAlignment="1">
      <alignment horizontal="center" vertical="center"/>
    </xf>
    <xf numFmtId="0" fontId="0" fillId="9" borderId="8" xfId="0" applyFill="1" applyBorder="1"/>
    <xf numFmtId="0" fontId="6" fillId="9" borderId="0" xfId="0" applyFont="1" applyFill="1" applyAlignment="1">
      <alignment horizontal="center" vertical="center"/>
    </xf>
    <xf numFmtId="0" fontId="7" fillId="9" borderId="0" xfId="0" quotePrefix="1" applyFont="1" applyFill="1" applyAlignment="1">
      <alignment horizontal="centerContinuous" vertical="center"/>
    </xf>
    <xf numFmtId="0" fontId="6" fillId="9" borderId="0" xfId="0" applyFont="1" applyFill="1" applyAlignment="1">
      <alignment horizontal="right" vertical="center"/>
    </xf>
    <xf numFmtId="0" fontId="7" fillId="9" borderId="0" xfId="0" applyFont="1" applyFill="1" applyAlignment="1">
      <alignment horizontal="left" vertical="center"/>
    </xf>
    <xf numFmtId="0" fontId="11" fillId="9" borderId="0" xfId="0" applyFont="1" applyFill="1" applyAlignment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left" vertical="top" wrapText="1"/>
      <protection locked="0"/>
    </xf>
    <xf numFmtId="0" fontId="8" fillId="9" borderId="0" xfId="0" applyFont="1" applyFill="1" applyAlignment="1">
      <alignment horizontal="center" vertical="center" wrapText="1"/>
    </xf>
    <xf numFmtId="0" fontId="8" fillId="9" borderId="0" xfId="0" applyFont="1" applyFill="1" applyAlignment="1">
      <alignment horizontal="left" vertical="top" wrapText="1"/>
    </xf>
    <xf numFmtId="0" fontId="10" fillId="9" borderId="0" xfId="0" applyFont="1" applyFill="1" applyAlignment="1">
      <alignment horizontal="center"/>
    </xf>
    <xf numFmtId="0" fontId="4" fillId="9" borderId="0" xfId="0" applyFont="1" applyFill="1"/>
    <xf numFmtId="0" fontId="6" fillId="13" borderId="14" xfId="0" applyFont="1" applyFill="1" applyBorder="1" applyAlignment="1">
      <alignment horizontal="center" vertical="center"/>
    </xf>
    <xf numFmtId="0" fontId="7" fillId="13" borderId="12" xfId="0" quotePrefix="1" applyFont="1" applyFill="1" applyBorder="1" applyAlignment="1">
      <alignment horizontal="centerContinuous" vertical="center"/>
    </xf>
    <xf numFmtId="0" fontId="6" fillId="13" borderId="14" xfId="0" applyFont="1" applyFill="1" applyBorder="1" applyAlignment="1">
      <alignment horizontal="right" vertical="center"/>
    </xf>
    <xf numFmtId="0" fontId="6" fillId="12" borderId="15" xfId="0" applyFont="1" applyFill="1" applyBorder="1" applyAlignment="1">
      <alignment horizontal="center" vertical="center"/>
    </xf>
    <xf numFmtId="0" fontId="11" fillId="12" borderId="15" xfId="0" applyFont="1" applyFill="1" applyBorder="1" applyAlignment="1">
      <alignment horizontal="center" vertical="center" wrapText="1"/>
    </xf>
    <xf numFmtId="0" fontId="8" fillId="12" borderId="15" xfId="0" applyFont="1" applyFill="1" applyBorder="1" applyAlignment="1">
      <alignment horizontal="center" vertical="center" wrapText="1"/>
    </xf>
    <xf numFmtId="0" fontId="8" fillId="12" borderId="13" xfId="0" applyFont="1" applyFill="1" applyBorder="1" applyAlignment="1">
      <alignment horizontal="left" vertical="top" wrapText="1"/>
    </xf>
    <xf numFmtId="0" fontId="10" fillId="11" borderId="0" xfId="0" applyFont="1" applyFill="1" applyAlignment="1">
      <alignment horizontal="center"/>
    </xf>
    <xf numFmtId="0" fontId="8" fillId="0" borderId="33" xfId="0" applyFont="1" applyBorder="1" applyAlignment="1" applyProtection="1">
      <alignment horizontal="center" vertical="center" wrapText="1"/>
      <protection locked="0"/>
    </xf>
    <xf numFmtId="0" fontId="8" fillId="0" borderId="33" xfId="0" applyFont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/>
    <xf numFmtId="0" fontId="8" fillId="9" borderId="9" xfId="0" applyFont="1" applyFill="1" applyBorder="1"/>
    <xf numFmtId="0" fontId="14" fillId="6" borderId="16" xfId="0" applyFont="1" applyFill="1" applyBorder="1" applyAlignment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>
      <alignment vertical="center"/>
    </xf>
    <xf numFmtId="0" fontId="15" fillId="8" borderId="26" xfId="0" applyFont="1" applyFill="1" applyBorder="1" applyAlignment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>
      <alignment horizontal="right" vertical="center"/>
    </xf>
    <xf numFmtId="164" fontId="15" fillId="6" borderId="25" xfId="0" applyNumberFormat="1" applyFont="1" applyFill="1" applyBorder="1" applyAlignment="1">
      <alignment horizontal="left" vertical="center" indent="2"/>
    </xf>
    <xf numFmtId="0" fontId="14" fillId="6" borderId="17" xfId="0" applyFont="1" applyFill="1" applyBorder="1" applyAlignment="1">
      <alignment horizontal="right" vertical="center"/>
    </xf>
    <xf numFmtId="0" fontId="14" fillId="6" borderId="8" xfId="0" applyFont="1" applyFill="1" applyBorder="1" applyAlignment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Font="1" applyFill="1" applyBorder="1" applyAlignment="1" applyProtection="1">
      <alignment horizontal="left" vertical="center"/>
      <protection locked="0"/>
    </xf>
    <xf numFmtId="0" fontId="9" fillId="4" borderId="13" xfId="0" applyFont="1" applyFill="1" applyBorder="1" applyAlignment="1">
      <alignment horizontal="left" vertical="top" wrapText="1"/>
    </xf>
    <xf numFmtId="0" fontId="16" fillId="9" borderId="0" xfId="0" applyFont="1" applyFill="1"/>
    <xf numFmtId="0" fontId="9" fillId="12" borderId="13" xfId="0" applyFont="1" applyFill="1" applyBorder="1" applyAlignment="1">
      <alignment horizontal="left" vertical="top" wrapText="1"/>
    </xf>
    <xf numFmtId="0" fontId="0" fillId="0" borderId="1" xfId="0" applyFont="1" applyBorder="1" applyAlignment="1" applyProtection="1">
      <alignment horizontal="left" vertical="top" wrapText="1"/>
      <protection locked="0"/>
    </xf>
    <xf numFmtId="0" fontId="0" fillId="0" borderId="2" xfId="0" applyFont="1" applyBorder="1" applyAlignment="1" applyProtection="1">
      <alignment horizontal="left" vertical="top" wrapText="1"/>
      <protection locked="0"/>
    </xf>
    <xf numFmtId="0" fontId="0" fillId="0" borderId="1" xfId="1" applyFont="1" applyFill="1" applyBorder="1" applyAlignment="1" applyProtection="1">
      <alignment horizontal="center" vertical="center" wrapText="1"/>
      <protection locked="0"/>
    </xf>
    <xf numFmtId="0" fontId="14" fillId="6" borderId="14" xfId="0" applyFont="1" applyFill="1" applyBorder="1" applyAlignment="1">
      <alignment horizontal="center" vertical="center"/>
    </xf>
    <xf numFmtId="0" fontId="14" fillId="6" borderId="13" xfId="0" applyFont="1" applyFill="1" applyBorder="1" applyAlignment="1">
      <alignment horizontal="center" vertical="center"/>
    </xf>
    <xf numFmtId="0" fontId="2" fillId="7" borderId="20" xfId="0" applyFont="1" applyFill="1" applyBorder="1" applyAlignment="1">
      <alignment horizontal="left" vertical="center" indent="1"/>
    </xf>
    <xf numFmtId="0" fontId="0" fillId="7" borderId="19" xfId="0" applyFill="1" applyBorder="1"/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4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3009" name="btnImportRealisation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5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1985" name="btnImportPlanification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6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8.emf"/><Relationship Id="rId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G54"/>
  <sheetViews>
    <sheetView view="pageBreakPreview" zoomScaleNormal="100" zoomScaleSheetLayoutView="100" workbookViewId="0">
      <selection activeCell="C12" sqref="C12"/>
    </sheetView>
  </sheetViews>
  <sheetFormatPr baseColWidth="10" defaultColWidth="11.5703125" defaultRowHeight="13.5" x14ac:dyDescent="0.25"/>
  <cols>
    <col min="1" max="1" width="16.5703125" style="57" customWidth="1"/>
    <col min="2" max="2" width="55.140625" style="57" customWidth="1"/>
    <col min="3" max="3" width="88.5703125" style="57" customWidth="1"/>
    <col min="4" max="4" width="3.42578125" style="57" customWidth="1"/>
    <col min="5" max="6" width="11.5703125" style="57"/>
    <col min="7" max="7" width="3.28515625" style="57" customWidth="1"/>
    <col min="8" max="16384" width="11.5703125" style="57"/>
  </cols>
  <sheetData>
    <row r="1" spans="1:7" x14ac:dyDescent="0.25">
      <c r="A1" s="54"/>
      <c r="B1" s="55"/>
      <c r="C1" s="55"/>
      <c r="D1" s="55"/>
      <c r="E1" s="55"/>
      <c r="F1" s="55"/>
      <c r="G1" s="56"/>
    </row>
    <row r="2" spans="1:7" ht="14.25" thickBot="1" x14ac:dyDescent="0.3">
      <c r="A2" s="58"/>
      <c r="B2" s="59"/>
      <c r="C2" s="59"/>
      <c r="D2" s="59"/>
      <c r="E2" s="59"/>
      <c r="F2" s="59"/>
      <c r="G2" s="60"/>
    </row>
    <row r="3" spans="1:7" ht="20.25" x14ac:dyDescent="0.25">
      <c r="A3" s="58"/>
      <c r="B3" s="61" t="s">
        <v>0</v>
      </c>
      <c r="C3" s="62" t="s">
        <v>31</v>
      </c>
      <c r="D3" s="59"/>
      <c r="E3" s="59"/>
      <c r="F3" s="59"/>
      <c r="G3" s="60"/>
    </row>
    <row r="4" spans="1:7" ht="20.25" x14ac:dyDescent="0.25">
      <c r="A4" s="58"/>
      <c r="B4" s="63" t="s">
        <v>4</v>
      </c>
      <c r="C4" s="64" t="s">
        <v>23</v>
      </c>
      <c r="D4" s="59"/>
      <c r="E4" s="59"/>
      <c r="F4" s="59"/>
      <c r="G4" s="60"/>
    </row>
    <row r="5" spans="1:7" ht="20.25" x14ac:dyDescent="0.25">
      <c r="A5" s="58"/>
      <c r="B5" s="63" t="s">
        <v>1</v>
      </c>
      <c r="C5" s="64" t="s">
        <v>24</v>
      </c>
      <c r="D5" s="59"/>
      <c r="E5" s="59"/>
      <c r="F5" s="59"/>
      <c r="G5" s="60"/>
    </row>
    <row r="6" spans="1:7" ht="21" thickBot="1" x14ac:dyDescent="0.3">
      <c r="A6" s="58"/>
      <c r="B6" s="65" t="s">
        <v>2</v>
      </c>
      <c r="C6" s="66" t="s">
        <v>25</v>
      </c>
      <c r="D6" s="59"/>
      <c r="E6" s="59"/>
      <c r="F6" s="59"/>
      <c r="G6" s="60"/>
    </row>
    <row r="7" spans="1:7" x14ac:dyDescent="0.25">
      <c r="A7" s="58"/>
      <c r="B7" s="59"/>
      <c r="C7" s="59"/>
      <c r="D7" s="59"/>
      <c r="E7" s="59"/>
      <c r="F7" s="59"/>
      <c r="G7" s="60"/>
    </row>
    <row r="8" spans="1:7" ht="14.25" thickBot="1" x14ac:dyDescent="0.3">
      <c r="A8" s="58"/>
      <c r="B8" s="59"/>
      <c r="C8" s="59"/>
      <c r="D8" s="59"/>
      <c r="E8" s="59"/>
      <c r="F8" s="59"/>
      <c r="G8" s="60"/>
    </row>
    <row r="9" spans="1:7" ht="20.25" x14ac:dyDescent="0.25">
      <c r="A9" s="58"/>
      <c r="B9" s="61" t="s">
        <v>8</v>
      </c>
      <c r="C9" s="67">
        <v>45532</v>
      </c>
      <c r="D9" s="59"/>
      <c r="E9" s="59"/>
      <c r="F9" s="59"/>
      <c r="G9" s="60"/>
    </row>
    <row r="10" spans="1:7" ht="20.25" x14ac:dyDescent="0.25">
      <c r="A10" s="58"/>
      <c r="B10" s="68" t="s">
        <v>7</v>
      </c>
      <c r="C10" s="69">
        <v>45597</v>
      </c>
      <c r="D10" s="59"/>
      <c r="E10" s="59"/>
      <c r="F10" s="59"/>
      <c r="G10" s="60"/>
    </row>
    <row r="11" spans="1:7" ht="20.25" x14ac:dyDescent="0.25">
      <c r="A11" s="58"/>
      <c r="B11" s="68" t="s">
        <v>9</v>
      </c>
      <c r="C11" s="70">
        <v>8</v>
      </c>
      <c r="D11" s="59"/>
      <c r="E11" s="59"/>
      <c r="F11" s="59"/>
      <c r="G11" s="60"/>
    </row>
    <row r="12" spans="1:7" ht="20.25" x14ac:dyDescent="0.25">
      <c r="A12" s="58"/>
      <c r="B12" s="63" t="s">
        <v>10</v>
      </c>
      <c r="C12" s="71">
        <v>10</v>
      </c>
      <c r="D12" s="59"/>
      <c r="E12" s="59"/>
      <c r="F12" s="59"/>
      <c r="G12" s="60"/>
    </row>
    <row r="13" spans="1:7" ht="20.25" x14ac:dyDescent="0.25">
      <c r="A13" s="58"/>
      <c r="B13" s="63" t="s">
        <v>11</v>
      </c>
      <c r="C13" s="71">
        <v>3</v>
      </c>
      <c r="D13" s="59"/>
      <c r="E13" s="59"/>
      <c r="F13" s="59"/>
      <c r="G13" s="60"/>
    </row>
    <row r="14" spans="1:7" ht="20.25" thickBot="1" x14ac:dyDescent="0.3">
      <c r="A14" s="58"/>
      <c r="B14" s="72"/>
      <c r="C14" s="73"/>
      <c r="D14" s="59"/>
      <c r="E14" s="59"/>
      <c r="F14" s="59"/>
      <c r="G14" s="60"/>
    </row>
    <row r="15" spans="1:7" x14ac:dyDescent="0.25">
      <c r="A15" s="58"/>
      <c r="B15" s="59"/>
      <c r="C15" s="59"/>
      <c r="D15" s="59"/>
      <c r="E15" s="59"/>
      <c r="F15" s="59"/>
      <c r="G15" s="60"/>
    </row>
    <row r="16" spans="1:7" ht="14.25" thickBot="1" x14ac:dyDescent="0.3">
      <c r="A16" s="74"/>
      <c r="B16" s="75"/>
      <c r="C16" s="75"/>
      <c r="D16" s="75"/>
      <c r="E16" s="75"/>
      <c r="F16" s="75"/>
      <c r="G16" s="76"/>
    </row>
    <row r="17" spans="1:7" x14ac:dyDescent="0.25">
      <c r="A17" s="77"/>
      <c r="B17" s="55"/>
      <c r="C17" s="55"/>
      <c r="D17" s="55"/>
      <c r="E17" s="55"/>
      <c r="F17" s="55"/>
      <c r="G17" s="56"/>
    </row>
    <row r="18" spans="1:7" ht="14.25" thickBot="1" x14ac:dyDescent="0.3">
      <c r="A18" s="78"/>
      <c r="B18" s="59"/>
      <c r="C18" s="59"/>
      <c r="D18" s="59"/>
      <c r="E18" s="59"/>
      <c r="F18" s="59"/>
      <c r="G18" s="60"/>
    </row>
    <row r="19" spans="1:7" ht="21" thickBot="1" x14ac:dyDescent="0.3">
      <c r="A19" s="78"/>
      <c r="B19" s="92" t="s">
        <v>18</v>
      </c>
      <c r="C19" s="93"/>
      <c r="D19" s="59"/>
      <c r="E19" s="59"/>
      <c r="F19" s="59"/>
      <c r="G19" s="60"/>
    </row>
    <row r="20" spans="1:7" ht="20.25" x14ac:dyDescent="0.25">
      <c r="A20" s="78"/>
      <c r="B20" s="79" t="s">
        <v>19</v>
      </c>
      <c r="C20" s="80" t="s">
        <v>20</v>
      </c>
      <c r="D20" s="59"/>
      <c r="E20" s="59"/>
      <c r="F20" s="59"/>
      <c r="G20" s="60"/>
    </row>
    <row r="21" spans="1:7" ht="20.25" x14ac:dyDescent="0.25">
      <c r="A21" s="78"/>
      <c r="B21" s="79">
        <v>1</v>
      </c>
      <c r="C21" s="69" t="s">
        <v>26</v>
      </c>
      <c r="D21" s="59"/>
      <c r="E21" s="59"/>
      <c r="F21" s="59"/>
      <c r="G21" s="60"/>
    </row>
    <row r="22" spans="1:7" ht="20.25" x14ac:dyDescent="0.25">
      <c r="A22" s="78"/>
      <c r="B22" s="79">
        <v>2</v>
      </c>
      <c r="C22" s="70" t="s">
        <v>27</v>
      </c>
      <c r="D22" s="59"/>
      <c r="E22" s="59"/>
      <c r="F22" s="59"/>
      <c r="G22" s="60"/>
    </row>
    <row r="23" spans="1:7" ht="20.25" x14ac:dyDescent="0.25">
      <c r="A23" s="78"/>
      <c r="B23" s="81">
        <v>3</v>
      </c>
      <c r="C23" s="70" t="s">
        <v>28</v>
      </c>
      <c r="D23" s="59"/>
      <c r="E23" s="59"/>
      <c r="F23" s="59"/>
      <c r="G23" s="60"/>
    </row>
    <row r="24" spans="1:7" ht="20.25" x14ac:dyDescent="0.25">
      <c r="A24" s="78"/>
      <c r="B24" s="79">
        <v>4</v>
      </c>
      <c r="C24" s="70" t="s">
        <v>29</v>
      </c>
      <c r="D24" s="59"/>
      <c r="E24" s="59"/>
      <c r="F24" s="59"/>
      <c r="G24" s="60"/>
    </row>
    <row r="25" spans="1:7" ht="20.25" x14ac:dyDescent="0.25">
      <c r="A25" s="78"/>
      <c r="B25" s="79">
        <v>5</v>
      </c>
      <c r="C25" s="70" t="s">
        <v>30</v>
      </c>
      <c r="D25" s="59"/>
      <c r="E25" s="59"/>
      <c r="F25" s="59"/>
      <c r="G25" s="60"/>
    </row>
    <row r="26" spans="1:7" ht="20.25" x14ac:dyDescent="0.25">
      <c r="A26" s="78"/>
      <c r="B26" s="81">
        <v>6</v>
      </c>
      <c r="C26" s="70"/>
      <c r="D26" s="59"/>
      <c r="E26" s="59"/>
      <c r="F26" s="59"/>
      <c r="G26" s="60"/>
    </row>
    <row r="27" spans="1:7" ht="20.25" x14ac:dyDescent="0.25">
      <c r="A27" s="78"/>
      <c r="B27" s="79">
        <v>7</v>
      </c>
      <c r="C27" s="70"/>
      <c r="D27" s="59"/>
      <c r="E27" s="59"/>
      <c r="F27" s="59"/>
      <c r="G27" s="60"/>
    </row>
    <row r="28" spans="1:7" ht="20.25" x14ac:dyDescent="0.25">
      <c r="A28" s="78"/>
      <c r="B28" s="79">
        <v>8</v>
      </c>
      <c r="C28" s="71"/>
      <c r="D28" s="59"/>
      <c r="E28" s="59"/>
      <c r="F28" s="59"/>
      <c r="G28" s="60"/>
    </row>
    <row r="29" spans="1:7" ht="20.25" x14ac:dyDescent="0.25">
      <c r="A29" s="78"/>
      <c r="B29" s="81">
        <v>9</v>
      </c>
      <c r="C29" s="71"/>
      <c r="D29" s="59"/>
      <c r="E29" s="59"/>
      <c r="F29" s="59"/>
      <c r="G29" s="60"/>
    </row>
    <row r="30" spans="1:7" ht="20.25" x14ac:dyDescent="0.25">
      <c r="A30" s="78"/>
      <c r="B30" s="79">
        <v>10</v>
      </c>
      <c r="C30" s="70"/>
      <c r="D30" s="59"/>
      <c r="E30" s="59"/>
      <c r="F30" s="59"/>
      <c r="G30" s="60"/>
    </row>
    <row r="31" spans="1:7" ht="20.25" x14ac:dyDescent="0.25">
      <c r="A31" s="78"/>
      <c r="B31" s="79">
        <v>11</v>
      </c>
      <c r="C31" s="70"/>
      <c r="D31" s="59"/>
      <c r="E31" s="59"/>
      <c r="F31" s="59"/>
      <c r="G31" s="60"/>
    </row>
    <row r="32" spans="1:7" ht="20.25" x14ac:dyDescent="0.25">
      <c r="A32" s="78"/>
      <c r="B32" s="81">
        <v>12</v>
      </c>
      <c r="C32" s="70"/>
      <c r="D32" s="59"/>
      <c r="E32" s="59"/>
      <c r="F32" s="59"/>
      <c r="G32" s="60"/>
    </row>
    <row r="33" spans="1:7" ht="20.25" x14ac:dyDescent="0.25">
      <c r="A33" s="78"/>
      <c r="B33" s="79">
        <v>13</v>
      </c>
      <c r="C33" s="70"/>
      <c r="D33" s="59"/>
      <c r="E33" s="59"/>
      <c r="F33" s="59"/>
      <c r="G33" s="60"/>
    </row>
    <row r="34" spans="1:7" ht="20.25" x14ac:dyDescent="0.25">
      <c r="A34" s="78"/>
      <c r="B34" s="79">
        <v>14</v>
      </c>
      <c r="C34" s="71"/>
      <c r="D34" s="59"/>
      <c r="E34" s="59"/>
      <c r="F34" s="59"/>
      <c r="G34" s="60"/>
    </row>
    <row r="35" spans="1:7" ht="20.25" x14ac:dyDescent="0.25">
      <c r="A35" s="78"/>
      <c r="B35" s="81">
        <v>15</v>
      </c>
      <c r="C35" s="71"/>
      <c r="D35" s="59"/>
      <c r="E35" s="59"/>
      <c r="F35" s="59"/>
      <c r="G35" s="60"/>
    </row>
    <row r="36" spans="1:7" ht="20.25" x14ac:dyDescent="0.25">
      <c r="A36" s="78"/>
      <c r="B36" s="79">
        <v>16</v>
      </c>
      <c r="C36" s="70"/>
      <c r="D36" s="59"/>
      <c r="E36" s="59"/>
      <c r="F36" s="59"/>
      <c r="G36" s="60"/>
    </row>
    <row r="37" spans="1:7" ht="20.25" x14ac:dyDescent="0.25">
      <c r="A37" s="78"/>
      <c r="B37" s="79">
        <v>17</v>
      </c>
      <c r="C37" s="70"/>
      <c r="D37" s="59"/>
      <c r="E37" s="59"/>
      <c r="F37" s="59"/>
      <c r="G37" s="60"/>
    </row>
    <row r="38" spans="1:7" ht="20.25" x14ac:dyDescent="0.25">
      <c r="A38" s="78"/>
      <c r="B38" s="81">
        <v>18</v>
      </c>
      <c r="C38" s="70"/>
      <c r="D38" s="59"/>
      <c r="E38" s="59"/>
      <c r="F38" s="59"/>
      <c r="G38" s="60"/>
    </row>
    <row r="39" spans="1:7" ht="20.25" x14ac:dyDescent="0.25">
      <c r="A39" s="78"/>
      <c r="B39" s="79">
        <v>19</v>
      </c>
      <c r="C39" s="70"/>
      <c r="D39" s="59"/>
      <c r="E39" s="59"/>
      <c r="F39" s="59"/>
      <c r="G39" s="60"/>
    </row>
    <row r="40" spans="1:7" ht="20.25" x14ac:dyDescent="0.25">
      <c r="A40" s="78"/>
      <c r="B40" s="79">
        <v>20</v>
      </c>
      <c r="C40" s="71"/>
      <c r="D40" s="59"/>
      <c r="E40" s="59"/>
      <c r="F40" s="59"/>
      <c r="G40" s="60"/>
    </row>
    <row r="41" spans="1:7" ht="20.25" x14ac:dyDescent="0.25">
      <c r="A41" s="78"/>
      <c r="B41" s="81">
        <v>21</v>
      </c>
      <c r="C41" s="71"/>
      <c r="D41" s="59"/>
      <c r="E41" s="59"/>
      <c r="F41" s="59"/>
      <c r="G41" s="60"/>
    </row>
    <row r="42" spans="1:7" ht="20.25" x14ac:dyDescent="0.25">
      <c r="A42" s="78"/>
      <c r="B42" s="79">
        <v>22</v>
      </c>
      <c r="C42" s="70"/>
      <c r="D42" s="59"/>
      <c r="E42" s="59"/>
      <c r="F42" s="59"/>
      <c r="G42" s="60"/>
    </row>
    <row r="43" spans="1:7" ht="20.25" x14ac:dyDescent="0.25">
      <c r="A43" s="78"/>
      <c r="B43" s="79">
        <v>23</v>
      </c>
      <c r="C43" s="70"/>
      <c r="D43" s="59"/>
      <c r="E43" s="59"/>
      <c r="F43" s="59"/>
      <c r="G43" s="60"/>
    </row>
    <row r="44" spans="1:7" ht="20.25" x14ac:dyDescent="0.25">
      <c r="A44" s="78"/>
      <c r="B44" s="81">
        <v>24</v>
      </c>
      <c r="C44" s="70"/>
      <c r="D44" s="59"/>
      <c r="E44" s="59"/>
      <c r="F44" s="59"/>
      <c r="G44" s="60"/>
    </row>
    <row r="45" spans="1:7" ht="21" thickBot="1" x14ac:dyDescent="0.3">
      <c r="A45" s="78"/>
      <c r="B45" s="82">
        <v>25</v>
      </c>
      <c r="C45" s="83"/>
      <c r="D45" s="59"/>
      <c r="E45" s="59"/>
      <c r="F45" s="59"/>
      <c r="G45" s="60"/>
    </row>
    <row r="46" spans="1:7" x14ac:dyDescent="0.25">
      <c r="A46" s="78"/>
      <c r="B46" s="55"/>
      <c r="C46" s="59"/>
      <c r="D46" s="59"/>
      <c r="E46" s="59"/>
      <c r="F46" s="59"/>
      <c r="G46" s="60"/>
    </row>
    <row r="47" spans="1:7" x14ac:dyDescent="0.25">
      <c r="A47" s="78"/>
      <c r="B47" s="59"/>
      <c r="C47" s="59"/>
      <c r="D47" s="59"/>
      <c r="E47" s="59"/>
      <c r="F47" s="59"/>
      <c r="G47" s="60"/>
    </row>
    <row r="48" spans="1:7" x14ac:dyDescent="0.25">
      <c r="A48" s="78"/>
      <c r="B48" s="59"/>
      <c r="C48" s="59"/>
      <c r="D48" s="59"/>
      <c r="E48" s="59"/>
      <c r="F48" s="59"/>
      <c r="G48" s="60"/>
    </row>
    <row r="49" spans="1:7" x14ac:dyDescent="0.25">
      <c r="A49" s="78"/>
      <c r="B49" s="59"/>
      <c r="C49" s="59"/>
      <c r="D49" s="59"/>
      <c r="E49" s="59"/>
      <c r="F49" s="59"/>
      <c r="G49" s="60"/>
    </row>
    <row r="50" spans="1:7" x14ac:dyDescent="0.25">
      <c r="A50" s="78"/>
      <c r="B50" s="59"/>
      <c r="C50" s="59"/>
      <c r="D50" s="59"/>
      <c r="E50" s="59"/>
      <c r="F50" s="59"/>
      <c r="G50" s="60"/>
    </row>
    <row r="51" spans="1:7" x14ac:dyDescent="0.25">
      <c r="A51" s="78"/>
      <c r="B51" s="59"/>
      <c r="C51" s="59"/>
      <c r="D51" s="59"/>
      <c r="E51" s="59"/>
      <c r="F51" s="59"/>
      <c r="G51" s="60"/>
    </row>
    <row r="52" spans="1:7" x14ac:dyDescent="0.25">
      <c r="A52" s="78"/>
      <c r="B52" s="59"/>
      <c r="C52" s="59"/>
      <c r="D52" s="59"/>
      <c r="E52" s="59"/>
      <c r="F52" s="59"/>
      <c r="G52" s="60"/>
    </row>
    <row r="53" spans="1:7" x14ac:dyDescent="0.25">
      <c r="A53" s="78"/>
      <c r="B53" s="59"/>
      <c r="C53" s="59"/>
      <c r="D53" s="59"/>
      <c r="E53" s="59"/>
      <c r="F53" s="59"/>
      <c r="G53" s="60"/>
    </row>
    <row r="54" spans="1:7" ht="14.25" thickBot="1" x14ac:dyDescent="0.3">
      <c r="A54" s="84"/>
      <c r="B54" s="75"/>
      <c r="C54" s="75"/>
      <c r="D54" s="75"/>
      <c r="E54" s="75"/>
      <c r="F54" s="75"/>
      <c r="G54" s="76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4" r:id="rId5" name="btnCreatePlanning">
          <controlPr defaultSize="0" autoLine="0" r:id="rId6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5" name="btnCreatePlanning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5" r:id="rId9" name="btnCreateWorkSheet">
          <controlPr defaultSize="0" autoLine="0" r:id="rId10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9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0" customWidth="1"/>
    <col min="2" max="2" width="51.28515625" style="20" customWidth="1"/>
    <col min="3" max="3" width="19.42578125" style="20" customWidth="1"/>
    <col min="4" max="16384" width="1.5703125" style="20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17</v>
      </c>
    </row>
    <row r="3" spans="1:4" ht="19.5" customHeight="1" x14ac:dyDescent="0.25">
      <c r="A3" s="19"/>
      <c r="B3" s="94" t="s">
        <v>20</v>
      </c>
      <c r="C3" s="16">
        <v>0</v>
      </c>
    </row>
    <row r="4" spans="1:4" ht="19.5" customHeight="1" x14ac:dyDescent="0.25">
      <c r="A4" s="19"/>
      <c r="B4" s="95"/>
      <c r="C4" s="22">
        <v>0</v>
      </c>
      <c r="D4" s="29"/>
    </row>
    <row r="16" spans="1:4" ht="19.5" customHeight="1" x14ac:dyDescent="0.25">
      <c r="A16" s="41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15</v>
      </c>
      <c r="C3" s="27">
        <v>0</v>
      </c>
    </row>
    <row r="4" spans="2:3" ht="18.75" thickBot="1" x14ac:dyDescent="0.3">
      <c r="B4" s="26" t="s">
        <v>16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H31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6" t="s">
        <v>13</v>
      </c>
      <c r="B1" s="7">
        <v>1</v>
      </c>
      <c r="C1" s="17"/>
      <c r="D1" s="85"/>
    </row>
    <row r="2" spans="1:4" ht="27.75" thickBot="1" x14ac:dyDescent="0.3">
      <c r="A2" s="8" t="s">
        <v>3</v>
      </c>
      <c r="B2" s="18" t="s">
        <v>14</v>
      </c>
      <c r="C2" s="8" t="s">
        <v>6</v>
      </c>
      <c r="D2" s="8" t="s">
        <v>12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2"/>
      <c r="B9" s="2"/>
      <c r="C9" s="10"/>
      <c r="D9" s="10"/>
    </row>
    <row r="10" spans="1:4" s="52" customFormat="1" x14ac:dyDescent="0.25">
      <c r="A10" s="2"/>
      <c r="B10" s="2"/>
      <c r="C10" s="10"/>
      <c r="D10" s="10"/>
    </row>
    <row r="11" spans="1:4" s="52" customFormat="1" x14ac:dyDescent="0.25">
      <c r="A11" s="2"/>
      <c r="B11" s="2"/>
      <c r="C11" s="10"/>
      <c r="D11" s="10"/>
    </row>
    <row r="12" spans="1:4" s="52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21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20" spans="1:8" ht="12.75" customHeight="1" x14ac:dyDescent="0.25">
      <c r="A20" s="30"/>
      <c r="B20" s="31"/>
      <c r="C20" s="32"/>
      <c r="D20" s="33"/>
      <c r="F20" s="31"/>
      <c r="G20" s="32"/>
      <c r="H20" s="33"/>
    </row>
    <row r="21" spans="1:8" ht="15" x14ac:dyDescent="0.25">
      <c r="A21" s="30"/>
      <c r="B21" s="34"/>
      <c r="C21" s="30"/>
      <c r="D21" s="30"/>
      <c r="F21" s="34"/>
      <c r="G21" s="30"/>
      <c r="H21" s="30"/>
    </row>
    <row r="22" spans="1:8" x14ac:dyDescent="0.25">
      <c r="A22" s="35"/>
      <c r="B22" s="36"/>
      <c r="C22" s="37"/>
      <c r="D22" s="37"/>
      <c r="F22" s="36"/>
      <c r="G22" s="37"/>
      <c r="H22" s="37"/>
    </row>
    <row r="23" spans="1:8" x14ac:dyDescent="0.25">
      <c r="A23" s="35"/>
      <c r="B23" s="36"/>
      <c r="C23" s="37"/>
      <c r="D23" s="37"/>
      <c r="F23" s="36"/>
      <c r="G23" s="37"/>
      <c r="H23" s="37"/>
    </row>
    <row r="24" spans="1:8" x14ac:dyDescent="0.25">
      <c r="A24" s="35"/>
      <c r="B24" s="36"/>
      <c r="C24" s="37"/>
      <c r="D24" s="37"/>
      <c r="F24" s="36"/>
      <c r="G24" s="37"/>
      <c r="H24" s="37"/>
    </row>
    <row r="25" spans="1:8" x14ac:dyDescent="0.25">
      <c r="A25" s="35"/>
      <c r="B25" s="36"/>
      <c r="C25" s="37"/>
      <c r="D25" s="37"/>
      <c r="F25" s="36"/>
      <c r="G25" s="37"/>
      <c r="H25" s="37"/>
    </row>
    <row r="26" spans="1:8" x14ac:dyDescent="0.25">
      <c r="A26" s="36"/>
      <c r="B26" s="36"/>
      <c r="C26" s="37"/>
      <c r="D26" s="37"/>
      <c r="F26" s="36"/>
      <c r="G26" s="37"/>
      <c r="H26" s="37"/>
    </row>
    <row r="27" spans="1:8" x14ac:dyDescent="0.25">
      <c r="A27" s="36"/>
      <c r="B27" s="36"/>
      <c r="C27" s="37"/>
      <c r="D27" s="37"/>
      <c r="F27" s="36"/>
      <c r="G27" s="37"/>
      <c r="H27" s="37"/>
    </row>
    <row r="28" spans="1:8" x14ac:dyDescent="0.25">
      <c r="A28" s="36"/>
      <c r="B28" s="36"/>
      <c r="C28" s="37"/>
      <c r="D28" s="37"/>
      <c r="F28" s="36"/>
      <c r="G28" s="37"/>
      <c r="H28" s="37"/>
    </row>
    <row r="29" spans="1:8" x14ac:dyDescent="0.25">
      <c r="A29" s="36"/>
      <c r="B29" s="36"/>
      <c r="C29" s="37"/>
      <c r="D29" s="37"/>
      <c r="F29" s="36"/>
      <c r="G29" s="37"/>
      <c r="H29" s="37"/>
    </row>
    <row r="30" spans="1:8" x14ac:dyDescent="0.25">
      <c r="A30" s="38"/>
      <c r="B30" s="38"/>
      <c r="C30" s="39"/>
      <c r="D30" s="39"/>
      <c r="F30" s="38"/>
      <c r="G30" s="39"/>
      <c r="H30" s="39"/>
    </row>
    <row r="31" spans="1:8" ht="14.25" x14ac:dyDescent="0.3">
      <c r="A31" s="40"/>
      <c r="B31" s="40"/>
      <c r="C31" s="40"/>
      <c r="D31" s="40"/>
      <c r="F31" s="40"/>
      <c r="G31" s="40"/>
      <c r="H31" s="4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H36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13</v>
      </c>
      <c r="B1" s="43">
        <v>1</v>
      </c>
      <c r="C1" s="44" t="s">
        <v>22</v>
      </c>
      <c r="D1" s="53"/>
    </row>
    <row r="2" spans="1:4" ht="27.75" thickBot="1" x14ac:dyDescent="0.3">
      <c r="A2" s="45" t="s">
        <v>3</v>
      </c>
      <c r="B2" s="46" t="s">
        <v>14</v>
      </c>
      <c r="C2" s="45" t="s">
        <v>6</v>
      </c>
      <c r="D2" s="45" t="s">
        <v>12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1"/>
      <c r="B9" s="2"/>
      <c r="C9" s="10"/>
      <c r="D9" s="10"/>
    </row>
    <row r="10" spans="1:4" s="52" customFormat="1" x14ac:dyDescent="0.25">
      <c r="A10" s="1"/>
      <c r="B10" s="2"/>
      <c r="C10" s="10"/>
      <c r="D10" s="10"/>
    </row>
    <row r="11" spans="1:4" s="52" customFormat="1" x14ac:dyDescent="0.25">
      <c r="A11" s="1"/>
      <c r="B11" s="2"/>
      <c r="C11" s="10"/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4.25" thickBot="1" x14ac:dyDescent="0.3">
      <c r="A17" s="3"/>
      <c r="B17" s="3"/>
      <c r="C17" s="11"/>
      <c r="D17" s="11"/>
    </row>
    <row r="18" spans="1:8" ht="14.25" thickBot="1" x14ac:dyDescent="0.3">
      <c r="A18" s="47" t="s">
        <v>21</v>
      </c>
      <c r="B18" s="47">
        <f>SUM(B3:B17)</f>
        <v>0</v>
      </c>
      <c r="C18" s="48"/>
      <c r="D18" s="48"/>
    </row>
    <row r="19" spans="1:8" ht="14.25" x14ac:dyDescent="0.3">
      <c r="A19" s="49"/>
      <c r="B19" s="49"/>
      <c r="C19" s="49"/>
      <c r="D19" s="49"/>
    </row>
    <row r="25" spans="1:8" ht="12.75" customHeight="1" x14ac:dyDescent="0.25">
      <c r="A25" s="30"/>
      <c r="B25" s="31"/>
      <c r="C25" s="32"/>
      <c r="D25" s="33"/>
      <c r="F25" s="31"/>
      <c r="G25" s="32"/>
      <c r="H25" s="33"/>
    </row>
    <row r="26" spans="1:8" ht="15" x14ac:dyDescent="0.25">
      <c r="A26" s="30"/>
      <c r="B26" s="34"/>
      <c r="C26" s="30"/>
      <c r="D26" s="30"/>
      <c r="F26" s="34"/>
      <c r="G26" s="30"/>
      <c r="H26" s="30"/>
    </row>
    <row r="27" spans="1:8" x14ac:dyDescent="0.25">
      <c r="A27" s="35"/>
      <c r="B27" s="36"/>
      <c r="C27" s="37"/>
      <c r="D27" s="37"/>
      <c r="F27" s="36"/>
      <c r="G27" s="37"/>
      <c r="H27" s="37"/>
    </row>
    <row r="28" spans="1:8" x14ac:dyDescent="0.25">
      <c r="A28" s="35"/>
      <c r="B28" s="36"/>
      <c r="C28" s="37"/>
      <c r="D28" s="37"/>
      <c r="F28" s="36"/>
      <c r="G28" s="37"/>
      <c r="H28" s="37"/>
    </row>
    <row r="29" spans="1:8" x14ac:dyDescent="0.25">
      <c r="A29" s="35"/>
      <c r="B29" s="36"/>
      <c r="C29" s="37"/>
      <c r="D29" s="37"/>
      <c r="F29" s="36"/>
      <c r="G29" s="37"/>
      <c r="H29" s="37"/>
    </row>
    <row r="30" spans="1:8" x14ac:dyDescent="0.25">
      <c r="A30" s="35"/>
      <c r="B30" s="36"/>
      <c r="C30" s="37"/>
      <c r="D30" s="37"/>
      <c r="F30" s="36"/>
      <c r="G30" s="37"/>
      <c r="H30" s="37"/>
    </row>
    <row r="31" spans="1:8" x14ac:dyDescent="0.25">
      <c r="A31" s="36"/>
      <c r="B31" s="36"/>
      <c r="C31" s="37"/>
      <c r="D31" s="37"/>
      <c r="F31" s="36"/>
      <c r="G31" s="37"/>
      <c r="H31" s="37"/>
    </row>
    <row r="32" spans="1:8" x14ac:dyDescent="0.25">
      <c r="A32" s="36"/>
      <c r="B32" s="36"/>
      <c r="C32" s="37"/>
      <c r="D32" s="37"/>
      <c r="F32" s="36"/>
      <c r="G32" s="37"/>
      <c r="H32" s="37"/>
    </row>
    <row r="33" spans="1:8" x14ac:dyDescent="0.25">
      <c r="A33" s="36"/>
      <c r="B33" s="36"/>
      <c r="C33" s="37"/>
      <c r="D33" s="37"/>
      <c r="F33" s="36"/>
      <c r="G33" s="37"/>
      <c r="H33" s="37"/>
    </row>
    <row r="34" spans="1:8" x14ac:dyDescent="0.25">
      <c r="A34" s="36"/>
      <c r="B34" s="36"/>
      <c r="C34" s="37"/>
      <c r="D34" s="37"/>
      <c r="F34" s="36"/>
      <c r="G34" s="37"/>
      <c r="H34" s="37"/>
    </row>
    <row r="35" spans="1:8" x14ac:dyDescent="0.25">
      <c r="A35" s="38"/>
      <c r="B35" s="38"/>
      <c r="C35" s="39"/>
      <c r="D35" s="39"/>
      <c r="F35" s="38"/>
      <c r="G35" s="39"/>
      <c r="H35" s="39"/>
    </row>
    <row r="36" spans="1:8" ht="14.25" x14ac:dyDescent="0.3">
      <c r="A36" s="40"/>
      <c r="B36" s="40"/>
      <c r="C36" s="40"/>
      <c r="D36" s="40"/>
      <c r="F36" s="40"/>
      <c r="G36" s="40"/>
      <c r="H36" s="4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C67ADB-9C94-47DB-9395-0776FFB0D7FF}">
  <sheetPr codeName="Feuil9"/>
  <dimension ref="A1:H153"/>
  <sheetViews>
    <sheetView tabSelected="1" topLeftCell="A43" zoomScaleNormal="100" workbookViewId="0">
      <selection activeCell="C64" sqref="C64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13</v>
      </c>
      <c r="B1" s="43">
        <v>1</v>
      </c>
      <c r="C1" s="44" t="s">
        <v>22</v>
      </c>
      <c r="D1" s="53">
        <f>Donnees!$C$9</f>
        <v>45532</v>
      </c>
    </row>
    <row r="2" spans="1:4" ht="27.75" thickBot="1" x14ac:dyDescent="0.3">
      <c r="A2" s="45" t="s">
        <v>3</v>
      </c>
      <c r="B2" s="46" t="s">
        <v>14</v>
      </c>
      <c r="C2" s="45" t="s">
        <v>6</v>
      </c>
      <c r="D2" s="45" t="s">
        <v>12</v>
      </c>
    </row>
    <row r="3" spans="1:4" s="52" customFormat="1" x14ac:dyDescent="0.25">
      <c r="A3" s="5" t="s">
        <v>26</v>
      </c>
      <c r="B3" s="4">
        <v>1</v>
      </c>
      <c r="C3" s="89" t="s">
        <v>55</v>
      </c>
      <c r="D3" s="9"/>
    </row>
    <row r="4" spans="1:4" s="52" customFormat="1" x14ac:dyDescent="0.25">
      <c r="A4" s="1" t="s">
        <v>30</v>
      </c>
      <c r="B4" s="2">
        <v>2</v>
      </c>
      <c r="C4" s="90" t="s">
        <v>56</v>
      </c>
      <c r="D4" s="10"/>
    </row>
    <row r="5" spans="1:4" s="52" customFormat="1" x14ac:dyDescent="0.25">
      <c r="A5" s="1" t="s">
        <v>26</v>
      </c>
      <c r="B5" s="2">
        <v>6</v>
      </c>
      <c r="C5" s="90" t="s">
        <v>57</v>
      </c>
      <c r="D5" s="10"/>
    </row>
    <row r="6" spans="1:4" s="52" customFormat="1" x14ac:dyDescent="0.25">
      <c r="A6" s="1" t="s">
        <v>28</v>
      </c>
      <c r="B6" s="2">
        <v>8</v>
      </c>
      <c r="C6" s="90" t="s">
        <v>58</v>
      </c>
      <c r="D6" s="10"/>
    </row>
    <row r="7" spans="1:4" s="52" customFormat="1" x14ac:dyDescent="0.25">
      <c r="A7" s="1" t="s">
        <v>29</v>
      </c>
      <c r="B7" s="2">
        <v>5</v>
      </c>
      <c r="C7" s="90" t="s">
        <v>58</v>
      </c>
      <c r="D7" s="10"/>
    </row>
    <row r="8" spans="1:4" s="52" customFormat="1" x14ac:dyDescent="0.25">
      <c r="A8" s="1" t="s">
        <v>27</v>
      </c>
      <c r="B8" s="2">
        <v>8</v>
      </c>
      <c r="C8" s="90" t="s">
        <v>36</v>
      </c>
      <c r="D8" s="10"/>
    </row>
    <row r="9" spans="1:4" s="52" customFormat="1" x14ac:dyDescent="0.25">
      <c r="A9" s="1"/>
      <c r="B9" s="2"/>
      <c r="C9" s="10"/>
      <c r="D9" s="10"/>
    </row>
    <row r="10" spans="1:4" s="52" customFormat="1" x14ac:dyDescent="0.25">
      <c r="A10" s="1"/>
      <c r="B10" s="2"/>
      <c r="C10" s="10"/>
      <c r="D10" s="10"/>
    </row>
    <row r="11" spans="1:4" s="52" customFormat="1" x14ac:dyDescent="0.25">
      <c r="A11" s="1"/>
      <c r="B11" s="2"/>
      <c r="C11" s="10"/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4.25" thickBot="1" x14ac:dyDescent="0.3">
      <c r="A17" s="3"/>
      <c r="B17" s="3"/>
      <c r="C17" s="11"/>
      <c r="D17" s="11"/>
    </row>
    <row r="18" spans="1:8" ht="14.25" thickBot="1" x14ac:dyDescent="0.3">
      <c r="A18" s="47" t="s">
        <v>21</v>
      </c>
      <c r="B18" s="47">
        <f>SUM(B3:B17)</f>
        <v>30</v>
      </c>
      <c r="C18" s="88" t="s">
        <v>32</v>
      </c>
      <c r="D18" s="48"/>
    </row>
    <row r="19" spans="1:8" ht="15" thickBot="1" x14ac:dyDescent="0.35">
      <c r="A19" s="49"/>
      <c r="B19" s="49"/>
      <c r="C19" s="49"/>
      <c r="D19" s="49"/>
    </row>
    <row r="20" spans="1:8" ht="18.75" thickBot="1" x14ac:dyDescent="0.3">
      <c r="A20" s="42" t="s">
        <v>13</v>
      </c>
      <c r="B20" s="43">
        <v>2</v>
      </c>
      <c r="C20" s="44" t="s">
        <v>22</v>
      </c>
      <c r="D20" s="53">
        <f>$D$1+7</f>
        <v>45539</v>
      </c>
    </row>
    <row r="21" spans="1:8" ht="27.75" thickBot="1" x14ac:dyDescent="0.3">
      <c r="A21" s="45" t="s">
        <v>3</v>
      </c>
      <c r="B21" s="46" t="s">
        <v>14</v>
      </c>
      <c r="C21" s="45" t="s">
        <v>6</v>
      </c>
      <c r="D21" s="45" t="s">
        <v>12</v>
      </c>
    </row>
    <row r="22" spans="1:8" x14ac:dyDescent="0.25">
      <c r="A22" s="5" t="s">
        <v>28</v>
      </c>
      <c r="B22" s="4">
        <v>8</v>
      </c>
      <c r="C22" s="89" t="s">
        <v>59</v>
      </c>
      <c r="D22" s="9"/>
    </row>
    <row r="23" spans="1:8" x14ac:dyDescent="0.25">
      <c r="A23" s="1" t="s">
        <v>29</v>
      </c>
      <c r="B23" s="2">
        <v>8</v>
      </c>
      <c r="C23" s="90" t="s">
        <v>60</v>
      </c>
      <c r="D23" s="10"/>
    </row>
    <row r="24" spans="1:8" x14ac:dyDescent="0.25">
      <c r="A24" s="1" t="s">
        <v>27</v>
      </c>
      <c r="B24" s="2">
        <v>12</v>
      </c>
      <c r="C24" s="90" t="s">
        <v>61</v>
      </c>
      <c r="D24" s="10"/>
    </row>
    <row r="25" spans="1:8" ht="12.75" customHeight="1" x14ac:dyDescent="0.25">
      <c r="A25" s="1" t="s">
        <v>26</v>
      </c>
      <c r="B25" s="2">
        <v>2</v>
      </c>
      <c r="C25" s="90" t="s">
        <v>39</v>
      </c>
      <c r="D25" s="10"/>
      <c r="F25" s="31"/>
      <c r="G25" s="32"/>
      <c r="H25" s="33"/>
    </row>
    <row r="26" spans="1:8" ht="15" x14ac:dyDescent="0.25">
      <c r="A26" s="1"/>
      <c r="B26" s="2"/>
      <c r="C26" s="10"/>
      <c r="D26" s="10"/>
      <c r="F26" s="34"/>
      <c r="G26" s="30"/>
      <c r="H26" s="30"/>
    </row>
    <row r="27" spans="1:8" x14ac:dyDescent="0.25">
      <c r="A27" s="1"/>
      <c r="B27" s="2"/>
      <c r="C27" s="10"/>
      <c r="D27" s="10"/>
      <c r="F27" s="36"/>
      <c r="G27" s="37"/>
      <c r="H27" s="37"/>
    </row>
    <row r="28" spans="1:8" x14ac:dyDescent="0.25">
      <c r="A28" s="1"/>
      <c r="B28" s="2"/>
      <c r="C28" s="10"/>
      <c r="D28" s="10"/>
      <c r="F28" s="36"/>
      <c r="G28" s="37"/>
      <c r="H28" s="37"/>
    </row>
    <row r="29" spans="1:8" x14ac:dyDescent="0.25">
      <c r="A29" s="1"/>
      <c r="B29" s="2"/>
      <c r="C29" s="10"/>
      <c r="D29" s="10"/>
      <c r="F29" s="36"/>
      <c r="G29" s="37"/>
      <c r="H29" s="37"/>
    </row>
    <row r="30" spans="1:8" x14ac:dyDescent="0.25">
      <c r="A30" s="1"/>
      <c r="B30" s="2"/>
      <c r="C30" s="10"/>
      <c r="D30" s="10"/>
      <c r="F30" s="36"/>
      <c r="G30" s="37"/>
      <c r="H30" s="37"/>
    </row>
    <row r="31" spans="1:8" x14ac:dyDescent="0.25">
      <c r="A31" s="2"/>
      <c r="B31" s="2"/>
      <c r="C31" s="10"/>
      <c r="D31" s="10"/>
      <c r="F31" s="36"/>
      <c r="G31" s="37"/>
      <c r="H31" s="37"/>
    </row>
    <row r="32" spans="1:8" x14ac:dyDescent="0.25">
      <c r="A32" s="2"/>
      <c r="B32" s="2"/>
      <c r="C32" s="10"/>
      <c r="D32" s="10"/>
      <c r="F32" s="36"/>
      <c r="G32" s="37"/>
      <c r="H32" s="37"/>
    </row>
    <row r="33" spans="1:8" x14ac:dyDescent="0.25">
      <c r="A33" s="2"/>
      <c r="B33" s="2"/>
      <c r="C33" s="10"/>
      <c r="D33" s="10"/>
      <c r="F33" s="36"/>
      <c r="G33" s="37"/>
      <c r="H33" s="37"/>
    </row>
    <row r="34" spans="1:8" x14ac:dyDescent="0.25">
      <c r="A34" s="50"/>
      <c r="B34" s="50"/>
      <c r="C34" s="51"/>
      <c r="D34" s="51"/>
      <c r="F34" s="36"/>
      <c r="G34" s="37"/>
      <c r="H34" s="37"/>
    </row>
    <row r="35" spans="1:8" x14ac:dyDescent="0.25">
      <c r="A35" s="50"/>
      <c r="B35" s="50"/>
      <c r="C35" s="51"/>
      <c r="D35" s="51"/>
      <c r="F35" s="38"/>
      <c r="G35" s="39"/>
      <c r="H35" s="39"/>
    </row>
    <row r="36" spans="1:8" ht="15" thickBot="1" x14ac:dyDescent="0.35">
      <c r="A36" s="3"/>
      <c r="B36" s="3"/>
      <c r="C36" s="11"/>
      <c r="D36" s="11"/>
      <c r="F36" s="40"/>
      <c r="G36" s="40"/>
      <c r="H36" s="40"/>
    </row>
    <row r="37" spans="1:8" ht="14.25" thickBot="1" x14ac:dyDescent="0.3">
      <c r="A37" s="47" t="s">
        <v>21</v>
      </c>
      <c r="B37" s="47">
        <f>SUM(B22:B36)</f>
        <v>30</v>
      </c>
      <c r="C37" s="88" t="s">
        <v>32</v>
      </c>
      <c r="D37" s="48"/>
    </row>
    <row r="38" spans="1:8" ht="15" thickBot="1" x14ac:dyDescent="0.35">
      <c r="A38" s="49"/>
      <c r="B38" s="49"/>
      <c r="C38" s="49"/>
      <c r="D38" s="49"/>
    </row>
    <row r="39" spans="1:8" ht="18.75" thickBot="1" x14ac:dyDescent="0.3">
      <c r="A39" s="42" t="s">
        <v>13</v>
      </c>
      <c r="B39" s="43">
        <v>3</v>
      </c>
      <c r="C39" s="44" t="s">
        <v>22</v>
      </c>
      <c r="D39" s="53">
        <f>$D$20+7</f>
        <v>45546</v>
      </c>
    </row>
    <row r="40" spans="1:8" ht="27.75" thickBot="1" x14ac:dyDescent="0.3">
      <c r="A40" s="45" t="s">
        <v>3</v>
      </c>
      <c r="B40" s="46" t="s">
        <v>14</v>
      </c>
      <c r="C40" s="45" t="s">
        <v>6</v>
      </c>
      <c r="D40" s="45" t="s">
        <v>12</v>
      </c>
    </row>
    <row r="41" spans="1:8" x14ac:dyDescent="0.25">
      <c r="A41" s="5" t="s">
        <v>28</v>
      </c>
      <c r="B41" s="4">
        <v>8</v>
      </c>
      <c r="C41" s="89" t="s">
        <v>63</v>
      </c>
      <c r="D41" s="9"/>
    </row>
    <row r="42" spans="1:8" x14ac:dyDescent="0.25">
      <c r="A42" s="1" t="s">
        <v>29</v>
      </c>
      <c r="B42" s="2">
        <v>8</v>
      </c>
      <c r="C42" s="90" t="s">
        <v>64</v>
      </c>
      <c r="D42" s="10"/>
    </row>
    <row r="43" spans="1:8" x14ac:dyDescent="0.25">
      <c r="A43" s="1" t="s">
        <v>27</v>
      </c>
      <c r="B43" s="2">
        <v>12</v>
      </c>
      <c r="C43" s="90" t="s">
        <v>62</v>
      </c>
      <c r="D43" s="10"/>
    </row>
    <row r="44" spans="1:8" x14ac:dyDescent="0.25">
      <c r="A44" s="1" t="s">
        <v>26</v>
      </c>
      <c r="B44" s="2">
        <v>2</v>
      </c>
      <c r="C44" s="90" t="s">
        <v>39</v>
      </c>
      <c r="D44" s="10"/>
    </row>
    <row r="45" spans="1:8" x14ac:dyDescent="0.25">
      <c r="A45" s="1"/>
      <c r="B45" s="2"/>
      <c r="C45" s="10"/>
      <c r="D45" s="10"/>
    </row>
    <row r="46" spans="1:8" x14ac:dyDescent="0.25">
      <c r="A46" s="1"/>
      <c r="B46" s="2"/>
      <c r="C46" s="10"/>
      <c r="D46" s="10"/>
    </row>
    <row r="47" spans="1:8" x14ac:dyDescent="0.25">
      <c r="A47" s="1"/>
      <c r="B47" s="2"/>
      <c r="C47" s="10"/>
      <c r="D47" s="10"/>
    </row>
    <row r="48" spans="1:8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0"/>
      <c r="B53" s="50"/>
      <c r="C53" s="51"/>
      <c r="D53" s="51"/>
    </row>
    <row r="54" spans="1:4" x14ac:dyDescent="0.25">
      <c r="A54" s="50"/>
      <c r="B54" s="50"/>
      <c r="C54" s="51"/>
      <c r="D54" s="51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7" t="s">
        <v>21</v>
      </c>
      <c r="B56" s="47">
        <f>SUM(B41:B55)</f>
        <v>30</v>
      </c>
      <c r="C56" s="88" t="s">
        <v>32</v>
      </c>
      <c r="D56" s="48"/>
    </row>
    <row r="57" spans="1:4" ht="15" thickBot="1" x14ac:dyDescent="0.35">
      <c r="A57" s="49"/>
      <c r="B57" s="49"/>
      <c r="C57" s="49"/>
      <c r="D57" s="49"/>
    </row>
    <row r="58" spans="1:4" ht="18.75" thickBot="1" x14ac:dyDescent="0.3">
      <c r="A58" s="42" t="s">
        <v>13</v>
      </c>
      <c r="B58" s="43">
        <v>4</v>
      </c>
      <c r="C58" s="44" t="s">
        <v>22</v>
      </c>
      <c r="D58" s="53">
        <f>$D$39+7</f>
        <v>45553</v>
      </c>
    </row>
    <row r="59" spans="1:4" ht="27.75" thickBot="1" x14ac:dyDescent="0.3">
      <c r="A59" s="45" t="s">
        <v>3</v>
      </c>
      <c r="B59" s="46" t="s">
        <v>14</v>
      </c>
      <c r="C59" s="45" t="s">
        <v>6</v>
      </c>
      <c r="D59" s="45" t="s">
        <v>12</v>
      </c>
    </row>
    <row r="60" spans="1:4" x14ac:dyDescent="0.25">
      <c r="A60" s="5" t="s">
        <v>28</v>
      </c>
      <c r="B60" s="4">
        <v>8</v>
      </c>
      <c r="C60" s="89" t="s">
        <v>65</v>
      </c>
      <c r="D60" s="9"/>
    </row>
    <row r="61" spans="1:4" x14ac:dyDescent="0.25">
      <c r="A61" s="1" t="s">
        <v>20</v>
      </c>
      <c r="B61" s="2">
        <v>8</v>
      </c>
      <c r="C61" s="90" t="s">
        <v>66</v>
      </c>
      <c r="D61" s="10"/>
    </row>
    <row r="62" spans="1:4" x14ac:dyDescent="0.25">
      <c r="A62" s="1" t="s">
        <v>27</v>
      </c>
      <c r="B62" s="2">
        <v>12</v>
      </c>
      <c r="C62" s="90" t="s">
        <v>67</v>
      </c>
      <c r="D62" s="10"/>
    </row>
    <row r="63" spans="1:4" x14ac:dyDescent="0.25">
      <c r="A63" s="1" t="s">
        <v>26</v>
      </c>
      <c r="B63" s="2">
        <v>2</v>
      </c>
      <c r="C63" s="90" t="s">
        <v>68</v>
      </c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0"/>
      <c r="B72" s="50"/>
      <c r="C72" s="51"/>
      <c r="D72" s="51"/>
    </row>
    <row r="73" spans="1:4" x14ac:dyDescent="0.25">
      <c r="A73" s="50"/>
      <c r="B73" s="50"/>
      <c r="C73" s="51"/>
      <c r="D73" s="51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7" t="s">
        <v>21</v>
      </c>
      <c r="B75" s="47">
        <f>SUM(B60:B74)</f>
        <v>30</v>
      </c>
      <c r="C75" s="88" t="s">
        <v>32</v>
      </c>
      <c r="D75" s="48"/>
    </row>
    <row r="76" spans="1:4" ht="15" thickBot="1" x14ac:dyDescent="0.35">
      <c r="A76" s="49"/>
      <c r="B76" s="49"/>
      <c r="C76" s="49"/>
      <c r="D76" s="49"/>
    </row>
    <row r="77" spans="1:4" ht="18.75" thickBot="1" x14ac:dyDescent="0.3">
      <c r="A77" s="42" t="s">
        <v>13</v>
      </c>
      <c r="B77" s="43">
        <v>5</v>
      </c>
      <c r="C77" s="44" t="s">
        <v>22</v>
      </c>
      <c r="D77" s="53">
        <f>$D$58+7</f>
        <v>45560</v>
      </c>
    </row>
    <row r="78" spans="1:4" ht="27.75" thickBot="1" x14ac:dyDescent="0.3">
      <c r="A78" s="45" t="s">
        <v>3</v>
      </c>
      <c r="B78" s="46" t="s">
        <v>14</v>
      </c>
      <c r="C78" s="45" t="s">
        <v>6</v>
      </c>
      <c r="D78" s="45" t="s">
        <v>12</v>
      </c>
    </row>
    <row r="79" spans="1:4" x14ac:dyDescent="0.25">
      <c r="A79" s="5"/>
      <c r="B79" s="4"/>
      <c r="C79" s="9"/>
      <c r="D79" s="9"/>
    </row>
    <row r="80" spans="1:4" x14ac:dyDescent="0.25">
      <c r="A80" s="1"/>
      <c r="B80" s="2"/>
      <c r="C80" s="10"/>
      <c r="D80" s="10"/>
    </row>
    <row r="81" spans="1:4" x14ac:dyDescent="0.25">
      <c r="A81" s="1"/>
      <c r="B81" s="2"/>
      <c r="C81" s="10"/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0"/>
      <c r="B91" s="50"/>
      <c r="C91" s="51"/>
      <c r="D91" s="51"/>
    </row>
    <row r="92" spans="1:4" x14ac:dyDescent="0.25">
      <c r="A92" s="50"/>
      <c r="B92" s="50"/>
      <c r="C92" s="51"/>
      <c r="D92" s="51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7" t="s">
        <v>21</v>
      </c>
      <c r="B94" s="47">
        <f>SUM(B79:B93)</f>
        <v>0</v>
      </c>
      <c r="C94" s="88" t="s">
        <v>32</v>
      </c>
      <c r="D94" s="48"/>
    </row>
    <row r="95" spans="1:4" ht="15" thickBot="1" x14ac:dyDescent="0.35">
      <c r="A95" s="49"/>
      <c r="B95" s="49"/>
      <c r="C95" s="49"/>
      <c r="D95" s="49"/>
    </row>
    <row r="96" spans="1:4" ht="18.75" thickBot="1" x14ac:dyDescent="0.3">
      <c r="A96" s="42" t="s">
        <v>13</v>
      </c>
      <c r="B96" s="43">
        <v>6</v>
      </c>
      <c r="C96" s="44" t="s">
        <v>22</v>
      </c>
      <c r="D96" s="53">
        <f>$D$77+7</f>
        <v>45567</v>
      </c>
    </row>
    <row r="97" spans="1:4" ht="27.75" thickBot="1" x14ac:dyDescent="0.3">
      <c r="A97" s="45" t="s">
        <v>3</v>
      </c>
      <c r="B97" s="46" t="s">
        <v>14</v>
      </c>
      <c r="C97" s="45" t="s">
        <v>6</v>
      </c>
      <c r="D97" s="45" t="s">
        <v>12</v>
      </c>
    </row>
    <row r="98" spans="1:4" x14ac:dyDescent="0.25">
      <c r="A98" s="5"/>
      <c r="B98" s="4"/>
      <c r="C98" s="9"/>
      <c r="D98" s="9"/>
    </row>
    <row r="99" spans="1:4" x14ac:dyDescent="0.25">
      <c r="A99" s="1"/>
      <c r="B99" s="2"/>
      <c r="C99" s="10"/>
      <c r="D99" s="10"/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0"/>
      <c r="B110" s="50"/>
      <c r="C110" s="51"/>
      <c r="D110" s="51"/>
    </row>
    <row r="111" spans="1:4" x14ac:dyDescent="0.25">
      <c r="A111" s="50"/>
      <c r="B111" s="50"/>
      <c r="C111" s="51"/>
      <c r="D111" s="51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7" t="s">
        <v>21</v>
      </c>
      <c r="B113" s="47">
        <f>SUM(B98:B112)</f>
        <v>0</v>
      </c>
      <c r="C113" s="88" t="s">
        <v>32</v>
      </c>
      <c r="D113" s="48"/>
    </row>
    <row r="114" spans="1:4" ht="15" thickBot="1" x14ac:dyDescent="0.35">
      <c r="A114" s="49"/>
      <c r="B114" s="49"/>
      <c r="C114" s="49"/>
      <c r="D114" s="49"/>
    </row>
    <row r="115" spans="1:4" ht="18.75" thickBot="1" x14ac:dyDescent="0.3">
      <c r="A115" s="42" t="s">
        <v>13</v>
      </c>
      <c r="B115" s="43">
        <v>7</v>
      </c>
      <c r="C115" s="44" t="s">
        <v>22</v>
      </c>
      <c r="D115" s="53">
        <f>$D$96+7</f>
        <v>45574</v>
      </c>
    </row>
    <row r="116" spans="1:4" ht="27.75" thickBot="1" x14ac:dyDescent="0.3">
      <c r="A116" s="45" t="s">
        <v>3</v>
      </c>
      <c r="B116" s="46" t="s">
        <v>14</v>
      </c>
      <c r="C116" s="45" t="s">
        <v>6</v>
      </c>
      <c r="D116" s="45" t="s">
        <v>12</v>
      </c>
    </row>
    <row r="117" spans="1:4" x14ac:dyDescent="0.25">
      <c r="A117" s="5"/>
      <c r="B117" s="4"/>
      <c r="C117" s="9"/>
      <c r="D117" s="9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0"/>
      <c r="B129" s="50"/>
      <c r="C129" s="51"/>
      <c r="D129" s="51"/>
    </row>
    <row r="130" spans="1:4" x14ac:dyDescent="0.25">
      <c r="A130" s="50"/>
      <c r="B130" s="50"/>
      <c r="C130" s="51"/>
      <c r="D130" s="51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7" t="s">
        <v>21</v>
      </c>
      <c r="B132" s="47">
        <f>SUM(B117:B131)</f>
        <v>0</v>
      </c>
      <c r="C132" s="88" t="s">
        <v>32</v>
      </c>
      <c r="D132" s="48"/>
    </row>
    <row r="133" spans="1:4" ht="15" thickBot="1" x14ac:dyDescent="0.35">
      <c r="A133" s="49"/>
      <c r="B133" s="49"/>
      <c r="C133" s="49"/>
      <c r="D133" s="49"/>
    </row>
    <row r="134" spans="1:4" ht="18.75" thickBot="1" x14ac:dyDescent="0.3">
      <c r="A134" s="42" t="s">
        <v>13</v>
      </c>
      <c r="B134" s="43">
        <v>8</v>
      </c>
      <c r="C134" s="44" t="s">
        <v>22</v>
      </c>
      <c r="D134" s="53">
        <f>$D$115+7</f>
        <v>45581</v>
      </c>
    </row>
    <row r="135" spans="1:4" ht="27.75" thickBot="1" x14ac:dyDescent="0.3">
      <c r="A135" s="45" t="s">
        <v>3</v>
      </c>
      <c r="B135" s="46" t="s">
        <v>14</v>
      </c>
      <c r="C135" s="45" t="s">
        <v>6</v>
      </c>
      <c r="D135" s="45" t="s">
        <v>12</v>
      </c>
    </row>
    <row r="136" spans="1:4" x14ac:dyDescent="0.25">
      <c r="A136" s="5"/>
      <c r="B136" s="4"/>
      <c r="C136" s="9"/>
      <c r="D136" s="9"/>
    </row>
    <row r="137" spans="1:4" x14ac:dyDescent="0.25">
      <c r="A137" s="1"/>
      <c r="B137" s="2"/>
      <c r="C137" s="10"/>
      <c r="D137" s="10"/>
    </row>
    <row r="138" spans="1:4" x14ac:dyDescent="0.25">
      <c r="A138" s="1"/>
      <c r="B138" s="2"/>
      <c r="C138" s="10"/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0"/>
      <c r="B148" s="50"/>
      <c r="C148" s="51"/>
      <c r="D148" s="51"/>
    </row>
    <row r="149" spans="1:4" x14ac:dyDescent="0.25">
      <c r="A149" s="50"/>
      <c r="B149" s="50"/>
      <c r="C149" s="51"/>
      <c r="D149" s="51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7" t="s">
        <v>21</v>
      </c>
      <c r="B151" s="47">
        <f>SUM(B136:B150)</f>
        <v>0</v>
      </c>
      <c r="C151" s="88" t="s">
        <v>32</v>
      </c>
      <c r="D151" s="48"/>
    </row>
    <row r="152" spans="1:4" ht="14.25" x14ac:dyDescent="0.3">
      <c r="A152" s="49"/>
      <c r="B152" s="49"/>
      <c r="C152" s="49"/>
      <c r="D152" s="49"/>
    </row>
    <row r="153" spans="1:4" x14ac:dyDescent="0.25">
      <c r="A153" s="87" t="s">
        <v>33</v>
      </c>
    </row>
  </sheetData>
  <sheetProtection sheet="1" objects="1" scenarios="1"/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DB1205B5-CB22-4217-93E5-7ED877F47D18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 B117:B131 B136:B150" xr:uid="{06469882-DB33-4A1A-B41C-32AB36190BB2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" xr:uid="{91F133D9-9DE1-42E8-B8D1-202B53D3F040}">
      <formula1>0</formula1>
      <formula2>NbPerWeek * NbQuartPer</formula2>
    </dataValidation>
    <dataValidation type="list" allowBlank="1" showInputMessage="1" showErrorMessage="1" sqref="A3:A17 A22:A36 A41:A55 A60:A74 A79:A93 A98:A112 A117:A131 A136:A150" xr:uid="{0232288A-AF41-4D1C-8E45-5A0E60FA2184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3009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3009" r:id="rId4" name="btnImportRealis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F1393C-1395-4A74-8F35-F87C80406EE9}">
  <sheetPr codeName="Feuil5"/>
  <dimension ref="A1:H113"/>
  <sheetViews>
    <sheetView topLeftCell="A86" workbookViewId="0">
      <selection activeCell="C20" sqref="C20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6" t="s">
        <v>13</v>
      </c>
      <c r="B1" s="7">
        <v>1</v>
      </c>
      <c r="C1" s="17"/>
      <c r="D1" s="85"/>
    </row>
    <row r="2" spans="1:4" ht="27.75" thickBot="1" x14ac:dyDescent="0.3">
      <c r="A2" s="8" t="s">
        <v>3</v>
      </c>
      <c r="B2" s="18" t="s">
        <v>14</v>
      </c>
      <c r="C2" s="8" t="s">
        <v>6</v>
      </c>
      <c r="D2" s="8" t="s">
        <v>12</v>
      </c>
    </row>
    <row r="3" spans="1:4" s="52" customFormat="1" ht="27" x14ac:dyDescent="0.25">
      <c r="A3" s="5" t="s">
        <v>26</v>
      </c>
      <c r="B3" s="4">
        <v>3</v>
      </c>
      <c r="C3" s="89" t="s">
        <v>34</v>
      </c>
      <c r="D3" s="9"/>
    </row>
    <row r="4" spans="1:4" s="52" customFormat="1" x14ac:dyDescent="0.25">
      <c r="A4" s="1" t="s">
        <v>30</v>
      </c>
      <c r="B4" s="2">
        <v>3</v>
      </c>
      <c r="C4" s="90" t="s">
        <v>35</v>
      </c>
      <c r="D4" s="10"/>
    </row>
    <row r="5" spans="1:4" s="52" customFormat="1" x14ac:dyDescent="0.25">
      <c r="A5" s="1" t="s">
        <v>28</v>
      </c>
      <c r="B5" s="2">
        <v>9</v>
      </c>
      <c r="C5" s="90" t="s">
        <v>36</v>
      </c>
      <c r="D5" s="10"/>
    </row>
    <row r="6" spans="1:4" s="52" customFormat="1" x14ac:dyDescent="0.25">
      <c r="A6" s="1" t="s">
        <v>29</v>
      </c>
      <c r="B6" s="2">
        <v>3</v>
      </c>
      <c r="C6" s="90" t="s">
        <v>36</v>
      </c>
      <c r="D6" s="10"/>
    </row>
    <row r="7" spans="1:4" s="52" customFormat="1" x14ac:dyDescent="0.25">
      <c r="A7" s="1" t="s">
        <v>27</v>
      </c>
      <c r="B7" s="2">
        <v>12</v>
      </c>
      <c r="C7" s="90" t="s">
        <v>36</v>
      </c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2"/>
      <c r="B9" s="2"/>
      <c r="C9" s="10"/>
      <c r="D9" s="10"/>
    </row>
    <row r="10" spans="1:4" s="52" customFormat="1" x14ac:dyDescent="0.25">
      <c r="A10" s="2"/>
      <c r="B10" s="2"/>
      <c r="C10" s="10"/>
      <c r="D10" s="10"/>
    </row>
    <row r="11" spans="1:4" s="52" customFormat="1" x14ac:dyDescent="0.25">
      <c r="A11" s="2"/>
      <c r="B11" s="2"/>
      <c r="C11" s="10"/>
      <c r="D11" s="10"/>
    </row>
    <row r="12" spans="1:4" s="52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21</v>
      </c>
      <c r="B13" s="12">
        <f>SUM(B3:B12)</f>
        <v>30</v>
      </c>
      <c r="C13" s="86" t="s">
        <v>32</v>
      </c>
      <c r="D13" s="13"/>
    </row>
    <row r="14" spans="1:4" ht="15" thickBot="1" x14ac:dyDescent="0.35">
      <c r="A14" s="14"/>
      <c r="B14" s="14"/>
      <c r="C14" s="14"/>
      <c r="D14" s="14"/>
    </row>
    <row r="15" spans="1:4" ht="18.75" thickBot="1" x14ac:dyDescent="0.3">
      <c r="A15" s="6" t="s">
        <v>13</v>
      </c>
      <c r="B15" s="7">
        <v>2</v>
      </c>
      <c r="C15" s="17"/>
      <c r="D15" s="85"/>
    </row>
    <row r="16" spans="1:4" ht="27.75" thickBot="1" x14ac:dyDescent="0.3">
      <c r="A16" s="8" t="s">
        <v>3</v>
      </c>
      <c r="B16" s="18" t="s">
        <v>14</v>
      </c>
      <c r="C16" s="8" t="s">
        <v>6</v>
      </c>
      <c r="D16" s="8" t="s">
        <v>12</v>
      </c>
    </row>
    <row r="17" spans="1:8" x14ac:dyDescent="0.25">
      <c r="A17" s="5" t="s">
        <v>28</v>
      </c>
      <c r="B17" s="4">
        <v>8</v>
      </c>
      <c r="C17" s="89" t="s">
        <v>50</v>
      </c>
      <c r="D17" s="9"/>
    </row>
    <row r="18" spans="1:8" x14ac:dyDescent="0.25">
      <c r="A18" s="1" t="s">
        <v>29</v>
      </c>
      <c r="B18" s="2">
        <v>8</v>
      </c>
      <c r="C18" s="90" t="s">
        <v>38</v>
      </c>
      <c r="D18" s="10"/>
    </row>
    <row r="19" spans="1:8" x14ac:dyDescent="0.25">
      <c r="A19" s="1" t="s">
        <v>27</v>
      </c>
      <c r="B19" s="2">
        <v>12</v>
      </c>
      <c r="C19" s="90" t="s">
        <v>44</v>
      </c>
      <c r="D19" s="10"/>
    </row>
    <row r="20" spans="1:8" ht="12.75" customHeight="1" x14ac:dyDescent="0.25">
      <c r="A20" s="1" t="s">
        <v>26</v>
      </c>
      <c r="B20" s="2">
        <v>2</v>
      </c>
      <c r="C20" s="90" t="s">
        <v>39</v>
      </c>
      <c r="D20" s="10"/>
      <c r="F20" s="31"/>
      <c r="G20" s="32"/>
      <c r="H20" s="33"/>
    </row>
    <row r="21" spans="1:8" ht="15" x14ac:dyDescent="0.25">
      <c r="A21" s="1"/>
      <c r="B21" s="2"/>
      <c r="C21" s="10"/>
      <c r="D21" s="10"/>
      <c r="F21" s="34"/>
      <c r="G21" s="30"/>
      <c r="H21" s="30"/>
    </row>
    <row r="22" spans="1:8" x14ac:dyDescent="0.25">
      <c r="A22" s="1"/>
      <c r="B22" s="2"/>
      <c r="C22" s="10"/>
      <c r="D22" s="10"/>
      <c r="F22" s="36"/>
      <c r="G22" s="37"/>
      <c r="H22" s="37"/>
    </row>
    <row r="23" spans="1:8" x14ac:dyDescent="0.25">
      <c r="A23" s="2"/>
      <c r="B23" s="2"/>
      <c r="C23" s="10"/>
      <c r="D23" s="10"/>
      <c r="F23" s="36"/>
      <c r="G23" s="37"/>
      <c r="H23" s="37"/>
    </row>
    <row r="24" spans="1:8" x14ac:dyDescent="0.25">
      <c r="A24" s="2"/>
      <c r="B24" s="2"/>
      <c r="C24" s="10"/>
      <c r="D24" s="10"/>
      <c r="F24" s="36"/>
      <c r="G24" s="37"/>
      <c r="H24" s="37"/>
    </row>
    <row r="25" spans="1:8" x14ac:dyDescent="0.25">
      <c r="A25" s="2"/>
      <c r="B25" s="2"/>
      <c r="C25" s="10"/>
      <c r="D25" s="10"/>
      <c r="F25" s="36"/>
      <c r="G25" s="37"/>
      <c r="H25" s="37"/>
    </row>
    <row r="26" spans="1:8" ht="14.25" thickBot="1" x14ac:dyDescent="0.3">
      <c r="A26" s="3"/>
      <c r="B26" s="3"/>
      <c r="C26" s="11"/>
      <c r="D26" s="11"/>
      <c r="F26" s="36"/>
      <c r="G26" s="37"/>
      <c r="H26" s="37"/>
    </row>
    <row r="27" spans="1:8" ht="14.25" thickBot="1" x14ac:dyDescent="0.3">
      <c r="A27" s="12" t="s">
        <v>21</v>
      </c>
      <c r="B27" s="12">
        <f>SUM(B17:B26)</f>
        <v>30</v>
      </c>
      <c r="C27" s="86" t="s">
        <v>32</v>
      </c>
      <c r="D27" s="13"/>
      <c r="F27" s="36"/>
      <c r="G27" s="37"/>
      <c r="H27" s="37"/>
    </row>
    <row r="28" spans="1:8" ht="15" thickBot="1" x14ac:dyDescent="0.35">
      <c r="A28" s="14"/>
      <c r="B28" s="14"/>
      <c r="C28" s="14"/>
      <c r="D28" s="14"/>
      <c r="F28" s="36"/>
      <c r="G28" s="37"/>
      <c r="H28" s="37"/>
    </row>
    <row r="29" spans="1:8" ht="18.75" thickBot="1" x14ac:dyDescent="0.3">
      <c r="A29" s="6" t="s">
        <v>13</v>
      </c>
      <c r="B29" s="7">
        <v>3</v>
      </c>
      <c r="C29" s="17"/>
      <c r="D29" s="85"/>
      <c r="F29" s="36"/>
      <c r="G29" s="37"/>
      <c r="H29" s="37"/>
    </row>
    <row r="30" spans="1:8" ht="27.75" thickBot="1" x14ac:dyDescent="0.3">
      <c r="A30" s="8" t="s">
        <v>3</v>
      </c>
      <c r="B30" s="18" t="s">
        <v>14</v>
      </c>
      <c r="C30" s="8" t="s">
        <v>6</v>
      </c>
      <c r="D30" s="8" t="s">
        <v>12</v>
      </c>
      <c r="F30" s="38"/>
      <c r="G30" s="39"/>
      <c r="H30" s="39"/>
    </row>
    <row r="31" spans="1:8" ht="14.25" x14ac:dyDescent="0.3">
      <c r="A31" s="5" t="s">
        <v>28</v>
      </c>
      <c r="B31" s="4">
        <v>8</v>
      </c>
      <c r="C31" s="89" t="s">
        <v>37</v>
      </c>
      <c r="D31" s="9"/>
      <c r="F31" s="40"/>
      <c r="G31" s="40"/>
      <c r="H31" s="40"/>
    </row>
    <row r="32" spans="1:8" x14ac:dyDescent="0.25">
      <c r="A32" s="1" t="s">
        <v>29</v>
      </c>
      <c r="B32" s="2">
        <v>8</v>
      </c>
      <c r="C32" s="90" t="s">
        <v>38</v>
      </c>
      <c r="D32" s="10"/>
    </row>
    <row r="33" spans="1:4" x14ac:dyDescent="0.25">
      <c r="A33" s="1" t="s">
        <v>27</v>
      </c>
      <c r="B33" s="2">
        <v>12</v>
      </c>
      <c r="C33" s="90" t="s">
        <v>45</v>
      </c>
      <c r="D33" s="10"/>
    </row>
    <row r="34" spans="1:4" x14ac:dyDescent="0.25">
      <c r="A34" s="1" t="s">
        <v>26</v>
      </c>
      <c r="B34" s="2">
        <v>2</v>
      </c>
      <c r="C34" s="90" t="s">
        <v>39</v>
      </c>
      <c r="D34" s="10"/>
    </row>
    <row r="35" spans="1:4" x14ac:dyDescent="0.25">
      <c r="A35" s="1"/>
      <c r="B35" s="2"/>
      <c r="C35" s="10"/>
      <c r="D35" s="10"/>
    </row>
    <row r="36" spans="1:4" x14ac:dyDescent="0.25">
      <c r="A36" s="1"/>
      <c r="B36" s="2"/>
      <c r="C36" s="10"/>
      <c r="D36" s="10"/>
    </row>
    <row r="37" spans="1:4" x14ac:dyDescent="0.25">
      <c r="A37" s="2"/>
      <c r="B37" s="2"/>
      <c r="C37" s="10"/>
      <c r="D37" s="10"/>
    </row>
    <row r="38" spans="1:4" x14ac:dyDescent="0.25">
      <c r="A38" s="2"/>
      <c r="B38" s="2"/>
      <c r="C38" s="10"/>
      <c r="D38" s="10"/>
    </row>
    <row r="39" spans="1:4" x14ac:dyDescent="0.25">
      <c r="A39" s="2"/>
      <c r="B39" s="2"/>
      <c r="C39" s="10"/>
      <c r="D39" s="10"/>
    </row>
    <row r="40" spans="1:4" ht="14.25" thickBot="1" x14ac:dyDescent="0.3">
      <c r="A40" s="3"/>
      <c r="B40" s="3"/>
      <c r="C40" s="11"/>
      <c r="D40" s="11"/>
    </row>
    <row r="41" spans="1:4" ht="14.25" thickBot="1" x14ac:dyDescent="0.3">
      <c r="A41" s="12" t="s">
        <v>21</v>
      </c>
      <c r="B41" s="12">
        <f>SUM(B31:B40)</f>
        <v>30</v>
      </c>
      <c r="C41" s="86" t="s">
        <v>32</v>
      </c>
      <c r="D41" s="13"/>
    </row>
    <row r="42" spans="1:4" ht="15" thickBot="1" x14ac:dyDescent="0.35">
      <c r="A42" s="14"/>
      <c r="B42" s="14"/>
      <c r="C42" s="14"/>
      <c r="D42" s="14"/>
    </row>
    <row r="43" spans="1:4" ht="18.75" thickBot="1" x14ac:dyDescent="0.3">
      <c r="A43" s="6" t="s">
        <v>13</v>
      </c>
      <c r="B43" s="7">
        <v>4</v>
      </c>
      <c r="C43" s="17"/>
      <c r="D43" s="85"/>
    </row>
    <row r="44" spans="1:4" ht="27.75" thickBot="1" x14ac:dyDescent="0.3">
      <c r="A44" s="8" t="s">
        <v>3</v>
      </c>
      <c r="B44" s="18" t="s">
        <v>14</v>
      </c>
      <c r="C44" s="8" t="s">
        <v>6</v>
      </c>
      <c r="D44" s="8" t="s">
        <v>12</v>
      </c>
    </row>
    <row r="45" spans="1:4" x14ac:dyDescent="0.25">
      <c r="A45" s="5" t="s">
        <v>20</v>
      </c>
      <c r="B45" s="4">
        <v>8</v>
      </c>
      <c r="C45" s="89" t="s">
        <v>40</v>
      </c>
      <c r="D45" s="9"/>
    </row>
    <row r="46" spans="1:4" x14ac:dyDescent="0.25">
      <c r="A46" s="1" t="s">
        <v>29</v>
      </c>
      <c r="B46" s="2">
        <v>8</v>
      </c>
      <c r="C46" s="90" t="s">
        <v>51</v>
      </c>
      <c r="D46" s="10"/>
    </row>
    <row r="47" spans="1:4" x14ac:dyDescent="0.25">
      <c r="A47" s="1" t="s">
        <v>27</v>
      </c>
      <c r="B47" s="2">
        <v>12</v>
      </c>
      <c r="C47" s="90" t="s">
        <v>46</v>
      </c>
      <c r="D47" s="10"/>
    </row>
    <row r="48" spans="1:4" x14ac:dyDescent="0.25">
      <c r="A48" s="1" t="s">
        <v>26</v>
      </c>
      <c r="B48" s="2">
        <v>2</v>
      </c>
      <c r="C48" s="90" t="s">
        <v>39</v>
      </c>
      <c r="D48" s="10"/>
    </row>
    <row r="49" spans="1:4" x14ac:dyDescent="0.25">
      <c r="A49" s="1"/>
      <c r="B49" s="2"/>
      <c r="C49" s="10"/>
      <c r="D49" s="10"/>
    </row>
    <row r="50" spans="1:4" x14ac:dyDescent="0.25">
      <c r="A50" s="1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2"/>
      <c r="B53" s="2"/>
      <c r="C53" s="10"/>
      <c r="D53" s="10"/>
    </row>
    <row r="54" spans="1:4" ht="14.25" thickBot="1" x14ac:dyDescent="0.3">
      <c r="A54" s="3"/>
      <c r="B54" s="3"/>
      <c r="C54" s="11"/>
      <c r="D54" s="11"/>
    </row>
    <row r="55" spans="1:4" ht="14.25" thickBot="1" x14ac:dyDescent="0.3">
      <c r="A55" s="12" t="s">
        <v>21</v>
      </c>
      <c r="B55" s="12">
        <f>SUM(B45:B54)</f>
        <v>30</v>
      </c>
      <c r="C55" s="86" t="s">
        <v>32</v>
      </c>
      <c r="D55" s="13"/>
    </row>
    <row r="56" spans="1:4" ht="15" thickBot="1" x14ac:dyDescent="0.35">
      <c r="A56" s="14"/>
      <c r="B56" s="14"/>
      <c r="C56" s="14"/>
      <c r="D56" s="14"/>
    </row>
    <row r="57" spans="1:4" ht="18.75" thickBot="1" x14ac:dyDescent="0.3">
      <c r="A57" s="6" t="s">
        <v>13</v>
      </c>
      <c r="B57" s="7">
        <v>5</v>
      </c>
      <c r="C57" s="17"/>
      <c r="D57" s="85"/>
    </row>
    <row r="58" spans="1:4" ht="27.75" thickBot="1" x14ac:dyDescent="0.3">
      <c r="A58" s="8" t="s">
        <v>3</v>
      </c>
      <c r="B58" s="18" t="s">
        <v>14</v>
      </c>
      <c r="C58" s="8" t="s">
        <v>6</v>
      </c>
      <c r="D58" s="8" t="s">
        <v>12</v>
      </c>
    </row>
    <row r="59" spans="1:4" x14ac:dyDescent="0.25">
      <c r="A59" s="91" t="s">
        <v>28</v>
      </c>
      <c r="B59" s="4">
        <v>8</v>
      </c>
      <c r="C59" s="89" t="s">
        <v>41</v>
      </c>
      <c r="D59" s="9"/>
    </row>
    <row r="60" spans="1:4" x14ac:dyDescent="0.25">
      <c r="A60" s="1" t="s">
        <v>29</v>
      </c>
      <c r="B60" s="2">
        <v>8</v>
      </c>
      <c r="C60" s="90" t="s">
        <v>43</v>
      </c>
      <c r="D60" s="10"/>
    </row>
    <row r="61" spans="1:4" x14ac:dyDescent="0.25">
      <c r="A61" s="1" t="s">
        <v>27</v>
      </c>
      <c r="B61" s="2">
        <v>12</v>
      </c>
      <c r="C61" s="90" t="s">
        <v>47</v>
      </c>
      <c r="D61" s="10"/>
    </row>
    <row r="62" spans="1:4" x14ac:dyDescent="0.25">
      <c r="A62" s="1" t="s">
        <v>26</v>
      </c>
      <c r="B62" s="2">
        <v>2</v>
      </c>
      <c r="C62" s="90" t="s">
        <v>39</v>
      </c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2"/>
      <c r="B65" s="2"/>
      <c r="C65" s="10"/>
      <c r="D65" s="10"/>
    </row>
    <row r="66" spans="1:4" x14ac:dyDescent="0.25">
      <c r="A66" s="2"/>
      <c r="B66" s="2"/>
      <c r="C66" s="10"/>
      <c r="D66" s="10"/>
    </row>
    <row r="67" spans="1:4" x14ac:dyDescent="0.25">
      <c r="A67" s="2"/>
      <c r="B67" s="2"/>
      <c r="C67" s="10"/>
      <c r="D67" s="10"/>
    </row>
    <row r="68" spans="1:4" ht="14.25" thickBot="1" x14ac:dyDescent="0.3">
      <c r="A68" s="3"/>
      <c r="B68" s="3"/>
      <c r="C68" s="11"/>
      <c r="D68" s="11"/>
    </row>
    <row r="69" spans="1:4" ht="14.25" thickBot="1" x14ac:dyDescent="0.3">
      <c r="A69" s="12" t="s">
        <v>21</v>
      </c>
      <c r="B69" s="12">
        <f>SUM(B59:B68)</f>
        <v>30</v>
      </c>
      <c r="C69" s="86" t="s">
        <v>32</v>
      </c>
      <c r="D69" s="13"/>
    </row>
    <row r="70" spans="1:4" ht="15" thickBot="1" x14ac:dyDescent="0.35">
      <c r="A70" s="14"/>
      <c r="B70" s="14"/>
      <c r="C70" s="14"/>
      <c r="D70" s="14"/>
    </row>
    <row r="71" spans="1:4" ht="18.75" thickBot="1" x14ac:dyDescent="0.3">
      <c r="A71" s="6" t="s">
        <v>13</v>
      </c>
      <c r="B71" s="7">
        <v>6</v>
      </c>
      <c r="C71" s="17"/>
      <c r="D71" s="85"/>
    </row>
    <row r="72" spans="1:4" ht="27.75" thickBot="1" x14ac:dyDescent="0.3">
      <c r="A72" s="8" t="s">
        <v>3</v>
      </c>
      <c r="B72" s="18" t="s">
        <v>14</v>
      </c>
      <c r="C72" s="8" t="s">
        <v>6</v>
      </c>
      <c r="D72" s="8" t="s">
        <v>12</v>
      </c>
    </row>
    <row r="73" spans="1:4" x14ac:dyDescent="0.25">
      <c r="A73" s="5" t="s">
        <v>28</v>
      </c>
      <c r="B73" s="4">
        <v>8</v>
      </c>
      <c r="C73" s="89" t="s">
        <v>41</v>
      </c>
      <c r="D73" s="9"/>
    </row>
    <row r="74" spans="1:4" x14ac:dyDescent="0.25">
      <c r="A74" s="1" t="s">
        <v>29</v>
      </c>
      <c r="B74" s="2">
        <v>9</v>
      </c>
      <c r="C74" s="90" t="s">
        <v>42</v>
      </c>
      <c r="D74" s="10"/>
    </row>
    <row r="75" spans="1:4" x14ac:dyDescent="0.25">
      <c r="A75" s="1" t="s">
        <v>27</v>
      </c>
      <c r="B75" s="2">
        <v>12</v>
      </c>
      <c r="C75" s="90" t="s">
        <v>49</v>
      </c>
      <c r="D75" s="10"/>
    </row>
    <row r="76" spans="1:4" x14ac:dyDescent="0.25">
      <c r="A76" s="1" t="s">
        <v>26</v>
      </c>
      <c r="B76" s="2">
        <v>1</v>
      </c>
      <c r="C76" s="90" t="s">
        <v>39</v>
      </c>
      <c r="D76" s="10"/>
    </row>
    <row r="77" spans="1:4" x14ac:dyDescent="0.25">
      <c r="A77" s="1"/>
      <c r="B77" s="2"/>
      <c r="C77" s="10"/>
      <c r="D77" s="10"/>
    </row>
    <row r="78" spans="1:4" x14ac:dyDescent="0.25">
      <c r="A78" s="1"/>
      <c r="B78" s="2"/>
      <c r="C78" s="10"/>
      <c r="D78" s="10"/>
    </row>
    <row r="79" spans="1:4" x14ac:dyDescent="0.25">
      <c r="A79" s="2"/>
      <c r="B79" s="2"/>
      <c r="C79" s="10"/>
      <c r="D79" s="10"/>
    </row>
    <row r="80" spans="1:4" x14ac:dyDescent="0.25">
      <c r="A80" s="2"/>
      <c r="B80" s="2"/>
      <c r="C80" s="10"/>
      <c r="D80" s="10"/>
    </row>
    <row r="81" spans="1:4" x14ac:dyDescent="0.25">
      <c r="A81" s="2"/>
      <c r="B81" s="2"/>
      <c r="C81" s="10"/>
      <c r="D81" s="10"/>
    </row>
    <row r="82" spans="1:4" ht="14.25" thickBot="1" x14ac:dyDescent="0.3">
      <c r="A82" s="3"/>
      <c r="B82" s="3"/>
      <c r="C82" s="11"/>
      <c r="D82" s="11"/>
    </row>
    <row r="83" spans="1:4" ht="14.25" thickBot="1" x14ac:dyDescent="0.3">
      <c r="A83" s="12" t="s">
        <v>21</v>
      </c>
      <c r="B83" s="12">
        <f>SUM(B73:B82)</f>
        <v>30</v>
      </c>
      <c r="C83" s="86" t="s">
        <v>32</v>
      </c>
      <c r="D83" s="13"/>
    </row>
    <row r="84" spans="1:4" ht="15" thickBot="1" x14ac:dyDescent="0.35">
      <c r="A84" s="14"/>
      <c r="B84" s="14"/>
      <c r="C84" s="14"/>
      <c r="D84" s="14"/>
    </row>
    <row r="85" spans="1:4" ht="18.75" thickBot="1" x14ac:dyDescent="0.3">
      <c r="A85" s="6" t="s">
        <v>13</v>
      </c>
      <c r="B85" s="7">
        <v>7</v>
      </c>
      <c r="C85" s="17"/>
      <c r="D85" s="85"/>
    </row>
    <row r="86" spans="1:4" ht="27.75" thickBot="1" x14ac:dyDescent="0.3">
      <c r="A86" s="8" t="s">
        <v>3</v>
      </c>
      <c r="B86" s="18" t="s">
        <v>14</v>
      </c>
      <c r="C86" s="8" t="s">
        <v>6</v>
      </c>
      <c r="D86" s="8" t="s">
        <v>12</v>
      </c>
    </row>
    <row r="87" spans="1:4" x14ac:dyDescent="0.25">
      <c r="A87" s="5" t="s">
        <v>28</v>
      </c>
      <c r="B87" s="4">
        <v>8</v>
      </c>
      <c r="C87" s="89" t="s">
        <v>41</v>
      </c>
      <c r="D87" s="9"/>
    </row>
    <row r="88" spans="1:4" x14ac:dyDescent="0.25">
      <c r="A88" s="1" t="s">
        <v>29</v>
      </c>
      <c r="B88" s="2">
        <v>8</v>
      </c>
      <c r="C88" s="90" t="s">
        <v>42</v>
      </c>
      <c r="D88" s="10"/>
    </row>
    <row r="89" spans="1:4" x14ac:dyDescent="0.25">
      <c r="A89" s="1" t="s">
        <v>27</v>
      </c>
      <c r="B89" s="2">
        <v>12</v>
      </c>
      <c r="C89" s="90" t="s">
        <v>48</v>
      </c>
      <c r="D89" s="10"/>
    </row>
    <row r="90" spans="1:4" x14ac:dyDescent="0.25">
      <c r="A90" s="1" t="s">
        <v>26</v>
      </c>
      <c r="B90" s="2">
        <v>2</v>
      </c>
      <c r="C90" s="90" t="s">
        <v>39</v>
      </c>
      <c r="D90" s="10"/>
    </row>
    <row r="91" spans="1:4" x14ac:dyDescent="0.25">
      <c r="A91" s="1"/>
      <c r="B91" s="2"/>
      <c r="C91" s="10"/>
      <c r="D91" s="10"/>
    </row>
    <row r="92" spans="1:4" x14ac:dyDescent="0.25">
      <c r="A92" s="1"/>
      <c r="B92" s="2"/>
      <c r="C92" s="10"/>
      <c r="D92" s="10"/>
    </row>
    <row r="93" spans="1:4" x14ac:dyDescent="0.25">
      <c r="A93" s="2"/>
      <c r="B93" s="2"/>
      <c r="C93" s="10"/>
      <c r="D93" s="10"/>
    </row>
    <row r="94" spans="1:4" x14ac:dyDescent="0.25">
      <c r="A94" s="2"/>
      <c r="B94" s="2"/>
      <c r="C94" s="10"/>
      <c r="D94" s="10"/>
    </row>
    <row r="95" spans="1:4" x14ac:dyDescent="0.25">
      <c r="A95" s="2"/>
      <c r="B95" s="2"/>
      <c r="C95" s="10"/>
      <c r="D95" s="10"/>
    </row>
    <row r="96" spans="1:4" ht="14.25" thickBot="1" x14ac:dyDescent="0.3">
      <c r="A96" s="3"/>
      <c r="B96" s="3"/>
      <c r="C96" s="11"/>
      <c r="D96" s="11"/>
    </row>
    <row r="97" spans="1:4" ht="14.25" thickBot="1" x14ac:dyDescent="0.3">
      <c r="A97" s="12" t="s">
        <v>21</v>
      </c>
      <c r="B97" s="12">
        <f>SUM(B87:B96)</f>
        <v>30</v>
      </c>
      <c r="C97" s="86" t="s">
        <v>32</v>
      </c>
      <c r="D97" s="13"/>
    </row>
    <row r="98" spans="1:4" ht="15" thickBot="1" x14ac:dyDescent="0.35">
      <c r="A98" s="14"/>
      <c r="B98" s="14"/>
      <c r="C98" s="14"/>
      <c r="D98" s="14"/>
    </row>
    <row r="99" spans="1:4" ht="18.75" thickBot="1" x14ac:dyDescent="0.3">
      <c r="A99" s="6" t="s">
        <v>13</v>
      </c>
      <c r="B99" s="7">
        <v>8</v>
      </c>
      <c r="C99" s="17"/>
      <c r="D99" s="85"/>
    </row>
    <row r="100" spans="1:4" ht="27.75" thickBot="1" x14ac:dyDescent="0.3">
      <c r="A100" s="8" t="s">
        <v>3</v>
      </c>
      <c r="B100" s="18" t="s">
        <v>14</v>
      </c>
      <c r="C100" s="8" t="s">
        <v>6</v>
      </c>
      <c r="D100" s="8" t="s">
        <v>12</v>
      </c>
    </row>
    <row r="101" spans="1:4" x14ac:dyDescent="0.25">
      <c r="A101" s="5" t="s">
        <v>28</v>
      </c>
      <c r="B101" s="4">
        <v>8</v>
      </c>
      <c r="C101" s="89" t="s">
        <v>54</v>
      </c>
      <c r="D101" s="9"/>
    </row>
    <row r="102" spans="1:4" x14ac:dyDescent="0.25">
      <c r="A102" s="1" t="s">
        <v>29</v>
      </c>
      <c r="B102" s="2">
        <v>8</v>
      </c>
      <c r="C102" s="90" t="s">
        <v>53</v>
      </c>
      <c r="D102" s="10"/>
    </row>
    <row r="103" spans="1:4" x14ac:dyDescent="0.25">
      <c r="A103" s="1" t="s">
        <v>27</v>
      </c>
      <c r="B103" s="2">
        <v>8</v>
      </c>
      <c r="C103" s="90" t="s">
        <v>48</v>
      </c>
      <c r="D103" s="10"/>
    </row>
    <row r="104" spans="1:4" ht="40.5" x14ac:dyDescent="0.25">
      <c r="A104" s="1" t="s">
        <v>26</v>
      </c>
      <c r="B104" s="2">
        <v>6</v>
      </c>
      <c r="C104" s="90" t="s">
        <v>52</v>
      </c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ht="14.25" thickBot="1" x14ac:dyDescent="0.3">
      <c r="A110" s="3"/>
      <c r="B110" s="3"/>
      <c r="C110" s="11"/>
      <c r="D110" s="11"/>
    </row>
    <row r="111" spans="1:4" ht="14.25" thickBot="1" x14ac:dyDescent="0.3">
      <c r="A111" s="12" t="s">
        <v>21</v>
      </c>
      <c r="B111" s="12">
        <f>SUM(B101:B110)</f>
        <v>30</v>
      </c>
      <c r="C111" s="86" t="s">
        <v>32</v>
      </c>
      <c r="D111" s="13"/>
    </row>
    <row r="112" spans="1:4" ht="14.25" x14ac:dyDescent="0.3">
      <c r="A112" s="14"/>
      <c r="B112" s="14"/>
      <c r="C112" s="14"/>
      <c r="D112" s="14"/>
    </row>
    <row r="113" spans="1:1" x14ac:dyDescent="0.25">
      <c r="A113" s="87" t="s">
        <v>33</v>
      </c>
    </row>
  </sheetData>
  <sheetProtection sheet="1" objects="1" scenarios="1" insertRows="0" selectLockedCells="1"/>
  <dataValidations count="4">
    <dataValidation type="list" allowBlank="1" showInputMessage="1" showErrorMessage="1" sqref="A3:A12 A17:A26 A31:A40 A45:A54 A59:A68 A73:A82 A87:A96 A101:A110" xr:uid="{55579268-3D13-4D1E-A3A1-D35C8F0E7308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27 B41 B55 B69 B83 B97 B111" xr:uid="{4C554360-6D98-41E5-8185-2287074F2C0B}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12 F22:F29 B17:B26 B31:B40 B45:B54 B59:B68 B73:B82 B87:B96 B101:B110" xr:uid="{C00B09EA-0C64-4E65-8614-4F9F5CA2A232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 xr:uid="{DFFA08AB-A607-4AC5-805D-84455AD63425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985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1985" r:id="rId4" name="btnImportPlanific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4F20F00DBE2EE49BE9523363A2DF18B" ma:contentTypeVersion="3" ma:contentTypeDescription="Crée un document." ma:contentTypeScope="" ma:versionID="428a67bf6f341cc20b129d6ead09f800">
  <xsd:schema xmlns:xsd="http://www.w3.org/2001/XMLSchema" xmlns:xs="http://www.w3.org/2001/XMLSchema" xmlns:p="http://schemas.microsoft.com/office/2006/metadata/properties" xmlns:ns2="99ffe1f3-7857-457f-add0-5bdef636f38d" targetNamespace="http://schemas.microsoft.com/office/2006/metadata/properties" ma:root="true" ma:fieldsID="2463798d45d9f126bcf7449a921263da" ns2:_="">
    <xsd:import namespace="99ffe1f3-7857-457f-add0-5bdef636f38d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9ffe1f3-7857-457f-add0-5bdef636f38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22ED14A-152C-4DBE-9A8F-550CC865A443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D177A6C8-6DAD-4B68-9E62-F702DEC3ED5E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7E2DE16E-A9A4-4494-A12E-1545E36257A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9ffe1f3-7857-457f-add0-5bdef636f38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11</vt:i4>
      </vt:variant>
    </vt:vector>
  </HeadingPairs>
  <TitlesOfParts>
    <vt:vector size="18" baseType="lpstr">
      <vt:lpstr>Donnees</vt:lpstr>
      <vt:lpstr>DiagramHeader</vt:lpstr>
      <vt:lpstr>DiagramFooter</vt:lpstr>
      <vt:lpstr>PlanificationWeek</vt:lpstr>
      <vt:lpstr>achievementWeek</vt:lpstr>
      <vt:lpstr>JNLTRAV</vt:lpstr>
      <vt:lpstr>Planning</vt:lpstr>
      <vt:lpstr>datDateBegin</vt:lpstr>
      <vt:lpstr>lstTasks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Charles-Henri Moser</dc:creator>
  <cp:lastModifiedBy>Charles-Henri Pascal Moser</cp:lastModifiedBy>
  <cp:lastPrinted>2013-08-29T11:33:15Z</cp:lastPrinted>
  <dcterms:created xsi:type="dcterms:W3CDTF">1996-10-21T11:03:58Z</dcterms:created>
  <dcterms:modified xsi:type="dcterms:W3CDTF">2024-09-20T14:34:28Z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0x010100D4F20F00DBE2EE49BE9523363A2DF18B</vt:lpwstr>
  </property>
</Properties>
</file>