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PROJETS\Year2\P_ShootMeUp\ShootMeUp\"/>
    </mc:Choice>
  </mc:AlternateContent>
  <xr:revisionPtr revIDLastSave="0" documentId="13_ncr:1_{2A5A8131-D90A-4A30-A686-A0740DF10963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9" i="156" l="1"/>
  <c r="B125" i="156"/>
  <c r="B111" i="156"/>
  <c r="B97" i="156"/>
  <c r="B83" i="156"/>
  <c r="B69" i="156"/>
  <c r="B55" i="156"/>
  <c r="B41" i="156"/>
  <c r="B27" i="156"/>
  <c r="B13" i="156"/>
  <c r="D172" i="155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<sst xmlns="http://schemas.openxmlformats.org/spreadsheetml/2006/main" count="259" uniqueCount="58">
  <si>
    <t>Module :</t>
  </si>
  <si>
    <t>Classe :</t>
  </si>
  <si>
    <t>Lieu :</t>
  </si>
  <si>
    <t>Tâche</t>
  </si>
  <si>
    <t>Prénom - nom :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</si>
  <si>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</si>
  <si>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</si>
  <si>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</si>
  <si>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</si>
  <si>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</si>
  <si>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</si>
  <si>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</si>
  <si>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</si>
  <si>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</si>
  <si>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</si>
  <si>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</si>
  <si>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</si>
  <si>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</si>
  <si>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</si>
  <si>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</si>
  <si>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</si>
  <si>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</si>
  <si>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</si>
  <si>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Charles-henri Moser</t>
  </si>
  <si>
    <t>Venne</t>
  </si>
  <si>
    <t>CID 2B</t>
  </si>
  <si>
    <t>Module 106, 320, 322</t>
  </si>
  <si>
    <t>IceScrum</t>
  </si>
  <si>
    <t>Documentation</t>
  </si>
  <si>
    <t>UI/UX</t>
  </si>
  <si>
    <t>DataBase</t>
  </si>
  <si>
    <t>GitHub</t>
  </si>
  <si>
    <t>Max. 30</t>
  </si>
  <si>
    <t>STOP</t>
  </si>
  <si>
    <t>Création du repository GitHub Avec installation de GitHub desktop</t>
  </si>
  <si>
    <t>Lire et comprendre la documentation afin de pouvoir commencer le projet</t>
  </si>
  <si>
    <t>Création du rapport et du journal de travail</t>
  </si>
  <si>
    <t>Lire et comprendre le CDC et la documentation présente afin de pouvoir commence le projet</t>
  </si>
  <si>
    <t>Plannifier le projet</t>
  </si>
  <si>
    <t xml:space="preserve">Création de repository </t>
  </si>
  <si>
    <t>DEV: Code</t>
  </si>
  <si>
    <t>Explications: qu'est-ce qui se fait et comment ?</t>
  </si>
  <si>
    <t>Créer la DataBase</t>
  </si>
  <si>
    <t>Coder le menu</t>
  </si>
  <si>
    <t>Interfaces UX faire wireframe du menu</t>
  </si>
  <si>
    <t>Remplir Le journal de travail</t>
  </si>
  <si>
    <t>Remplir le rapport</t>
  </si>
  <si>
    <t>Boutton play et personnage qui bouge</t>
  </si>
  <si>
    <t>interface haute qualité</t>
  </si>
  <si>
    <t>Remplir le journal de travail</t>
  </si>
  <si>
    <t>Interface haute qualité</t>
  </si>
  <si>
    <t>Effect de tir et ennemis</t>
  </si>
  <si>
    <t>début du travail sur la maquette wireframe</t>
  </si>
  <si>
    <t>Remplissage du journal de travail</t>
  </si>
  <si>
    <t>Création du MCD/ MLD</t>
  </si>
  <si>
    <t>Interface Haute qualité</t>
  </si>
  <si>
    <t>Compréhension et début du code</t>
  </si>
  <si>
    <t>Update au MCD/MLD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</si>
</sst>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9" fillId="4" borderId="13" xfId="0" applyFont="1" applyFill="1" applyBorder="1" applyAlignment="1">
      <alignment horizontal="left" vertical="top" wrapText="1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2" zoomScaleNormal="100" zoomScaleSheetLayoutView="100" workbookViewId="0">
      <selection activeCell="D25" sqref="D25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26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24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45532</v>
      </c>
      <c r="D9" s="59"/>
      <c r="E9" s="59"/>
      <c r="F9" s="59"/>
      <c r="G9" s="60"/>
    </row>
    <row r="10" spans="1:7" ht="20.25" x14ac:dyDescent="0.25">
      <c r="A10" s="58"/>
      <c r="B10" s="68" t="s">
        <v>7</v>
      </c>
      <c r="C10" s="69">
        <v>45597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10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10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/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3" t="s">
        <v>18</v>
      </c>
      <c r="C19" s="94"/>
      <c r="D19" s="59"/>
      <c r="E19" s="59"/>
      <c r="F19" s="59"/>
      <c r="G19" s="60"/>
    </row>
    <row r="20" spans="1:7" ht="20.25" x14ac:dyDescent="0.25">
      <c r="A20" s="78"/>
      <c r="B20" s="79" t="s">
        <v>19</v>
      </c>
      <c r="C20" s="80" t="s">
        <v>20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40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29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30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31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17</v>
      </c>
    </row>
    <row r="3" spans="1:4" ht="19.5" customHeight="1" x14ac:dyDescent="0.25">
      <c r="A3" s="19"/>
      <c r="B3" s="95" t="s">
        <v>20</v>
      </c>
      <c r="C3" s="16">
        <v>0</v>
      </c>
    </row>
    <row r="4" spans="1:4" ht="19.5" customHeight="1" x14ac:dyDescent="0.25">
      <c r="A4" s="19"/>
      <c r="B4" s="9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3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511F8-5ADF-463B-A642-78778EF9242E}">
  <sheetPr codeName="Feuil9"/>
  <dimension ref="A1:H191"/>
  <sheetViews>
    <sheetView tabSelected="1" topLeftCell="A14" workbookViewId="0">
      <selection activeCell="C50" sqref="C5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45532</v>
      </c>
    </row>
    <row r="2" spans="1:4" ht="27.75" thickBot="1" x14ac:dyDescent="0.3">
      <c r="A2" s="45" t="s">
        <v>3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90" t="s">
        <v>28</v>
      </c>
      <c r="B3" s="4">
        <v>1</v>
      </c>
      <c r="C3" s="88" t="s">
        <v>35</v>
      </c>
      <c r="D3" s="9"/>
    </row>
    <row r="4" spans="1:4" s="52" customFormat="1" x14ac:dyDescent="0.25">
      <c r="A4" s="1" t="s">
        <v>31</v>
      </c>
      <c r="B4" s="2">
        <v>2</v>
      </c>
      <c r="C4" s="89" t="s">
        <v>34</v>
      </c>
      <c r="D4" s="10"/>
    </row>
    <row r="5" spans="1:4" s="52" customFormat="1" x14ac:dyDescent="0.25">
      <c r="A5" s="1" t="s">
        <v>28</v>
      </c>
      <c r="B5" s="2">
        <v>6</v>
      </c>
      <c r="C5" s="89" t="s">
        <v>36</v>
      </c>
      <c r="D5" s="10"/>
    </row>
    <row r="6" spans="1:4" s="52" customFormat="1" x14ac:dyDescent="0.25">
      <c r="A6" s="1" t="s">
        <v>40</v>
      </c>
      <c r="B6" s="2">
        <v>8</v>
      </c>
      <c r="C6" s="89" t="s">
        <v>41</v>
      </c>
      <c r="D6" s="10"/>
    </row>
    <row r="7" spans="1:4" s="52" customFormat="1" x14ac:dyDescent="0.25">
      <c r="A7" s="1" t="s">
        <v>29</v>
      </c>
      <c r="B7" s="2">
        <v>8</v>
      </c>
      <c r="C7" s="89" t="s">
        <v>41</v>
      </c>
      <c r="D7" s="10"/>
    </row>
    <row r="8" spans="1:4" s="52" customFormat="1" x14ac:dyDescent="0.25">
      <c r="A8" s="92" t="s">
        <v>30</v>
      </c>
      <c r="B8" s="2">
        <v>5</v>
      </c>
      <c r="C8" s="89" t="s">
        <v>41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30</v>
      </c>
      <c r="C18" s="86" t="s">
        <v>32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13</v>
      </c>
      <c r="B20" s="43">
        <v>2</v>
      </c>
      <c r="C20" s="44" t="s">
        <v>22</v>
      </c>
      <c r="D20" s="53">
        <f>$D$1+7</f>
        <v>45539</v>
      </c>
    </row>
    <row r="21" spans="1:8" ht="27.75" thickBot="1" x14ac:dyDescent="0.3">
      <c r="A21" s="45" t="s">
        <v>3</v>
      </c>
      <c r="B21" s="46" t="s">
        <v>14</v>
      </c>
      <c r="C21" s="45" t="s">
        <v>6</v>
      </c>
      <c r="D21" s="45" t="s">
        <v>12</v>
      </c>
    </row>
    <row r="22" spans="1:8" x14ac:dyDescent="0.25">
      <c r="A22" s="5" t="s">
        <v>29</v>
      </c>
      <c r="B22" s="4">
        <v>8</v>
      </c>
      <c r="C22" s="88" t="s">
        <v>52</v>
      </c>
      <c r="D22" s="9"/>
    </row>
    <row r="23" spans="1:8" x14ac:dyDescent="0.25">
      <c r="A23" s="1" t="s">
        <v>28</v>
      </c>
      <c r="B23" s="2">
        <v>4</v>
      </c>
      <c r="C23" s="89" t="s">
        <v>53</v>
      </c>
      <c r="D23" s="10"/>
    </row>
    <row r="24" spans="1:8" x14ac:dyDescent="0.25">
      <c r="A24" s="1" t="s">
        <v>30</v>
      </c>
      <c r="B24" s="2">
        <v>3</v>
      </c>
      <c r="C24" s="89" t="s">
        <v>54</v>
      </c>
      <c r="D24" s="10"/>
    </row>
    <row r="25" spans="1:8" ht="12.75" customHeight="1" x14ac:dyDescent="0.25">
      <c r="A25" s="1" t="s">
        <v>40</v>
      </c>
      <c r="B25" s="2">
        <v>15</v>
      </c>
      <c r="C25" s="89" t="s">
        <v>56</v>
      </c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21</v>
      </c>
      <c r="B37" s="47">
        <f>SUM(B22:B36)</f>
        <v>30</v>
      </c>
      <c r="C37" s="86" t="s">
        <v>32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13</v>
      </c>
      <c r="B39" s="43">
        <v>3</v>
      </c>
      <c r="C39" s="44" t="s">
        <v>22</v>
      </c>
      <c r="D39" s="53">
        <f>$D$20+7</f>
        <v>45546</v>
      </c>
    </row>
    <row r="40" spans="1:8" ht="27.75" thickBot="1" x14ac:dyDescent="0.3">
      <c r="A40" s="45" t="s">
        <v>3</v>
      </c>
      <c r="B40" s="46" t="s">
        <v>14</v>
      </c>
      <c r="C40" s="45" t="s">
        <v>6</v>
      </c>
      <c r="D40" s="45" t="s">
        <v>12</v>
      </c>
    </row>
    <row r="41" spans="1:8" x14ac:dyDescent="0.25">
      <c r="A41" s="5" t="s">
        <v>29</v>
      </c>
      <c r="B41" s="4">
        <v>8</v>
      </c>
      <c r="C41" s="9"/>
      <c r="D41" s="9"/>
    </row>
    <row r="42" spans="1:8" x14ac:dyDescent="0.25">
      <c r="A42" s="1" t="s">
        <v>30</v>
      </c>
      <c r="B42" s="2">
        <v>9</v>
      </c>
      <c r="C42" s="89" t="s">
        <v>57</v>
      </c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21</v>
      </c>
      <c r="B56" s="47">
        <f>SUM(B41:B55)</f>
        <v>17</v>
      </c>
      <c r="C56" s="86" t="s">
        <v>32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13</v>
      </c>
      <c r="B58" s="43">
        <v>4</v>
      </c>
      <c r="C58" s="44" t="s">
        <v>22</v>
      </c>
      <c r="D58" s="53">
        <f>$D$39+7</f>
        <v>45553</v>
      </c>
    </row>
    <row r="59" spans="1:4" ht="27.75" thickBot="1" x14ac:dyDescent="0.3">
      <c r="A59" s="45" t="s">
        <v>3</v>
      </c>
      <c r="B59" s="46" t="s">
        <v>14</v>
      </c>
      <c r="C59" s="45" t="s">
        <v>6</v>
      </c>
      <c r="D59" s="45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21</v>
      </c>
      <c r="B75" s="47">
        <f>SUM(B60:B74)</f>
        <v>0</v>
      </c>
      <c r="C75" s="86" t="s">
        <v>32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13</v>
      </c>
      <c r="B77" s="43">
        <v>5</v>
      </c>
      <c r="C77" s="44" t="s">
        <v>22</v>
      </c>
      <c r="D77" s="53">
        <f>$D$58+7</f>
        <v>45560</v>
      </c>
    </row>
    <row r="78" spans="1:4" ht="27.75" thickBot="1" x14ac:dyDescent="0.3">
      <c r="A78" s="45" t="s">
        <v>3</v>
      </c>
      <c r="B78" s="46" t="s">
        <v>14</v>
      </c>
      <c r="C78" s="45" t="s">
        <v>6</v>
      </c>
      <c r="D78" s="45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21</v>
      </c>
      <c r="B94" s="47">
        <f>SUM(B79:B93)</f>
        <v>0</v>
      </c>
      <c r="C94" s="86" t="s">
        <v>32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13</v>
      </c>
      <c r="B96" s="43">
        <v>6</v>
      </c>
      <c r="C96" s="44" t="s">
        <v>22</v>
      </c>
      <c r="D96" s="53">
        <f>$D$77+7</f>
        <v>45567</v>
      </c>
    </row>
    <row r="97" spans="1:4" ht="27.75" thickBot="1" x14ac:dyDescent="0.3">
      <c r="A97" s="45" t="s">
        <v>3</v>
      </c>
      <c r="B97" s="46" t="s">
        <v>14</v>
      </c>
      <c r="C97" s="45" t="s">
        <v>6</v>
      </c>
      <c r="D97" s="45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21</v>
      </c>
      <c r="B113" s="47">
        <f>SUM(B98:B112)</f>
        <v>0</v>
      </c>
      <c r="C113" s="86" t="s">
        <v>32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13</v>
      </c>
      <c r="B115" s="43">
        <v>7</v>
      </c>
      <c r="C115" s="44" t="s">
        <v>22</v>
      </c>
      <c r="D115" s="53">
        <f>$D$96+7</f>
        <v>45574</v>
      </c>
    </row>
    <row r="116" spans="1:4" ht="27.75" thickBot="1" x14ac:dyDescent="0.3">
      <c r="A116" s="45" t="s">
        <v>3</v>
      </c>
      <c r="B116" s="46" t="s">
        <v>14</v>
      </c>
      <c r="C116" s="45" t="s">
        <v>6</v>
      </c>
      <c r="D116" s="45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21</v>
      </c>
      <c r="B132" s="47">
        <f>SUM(B117:B131)</f>
        <v>0</v>
      </c>
      <c r="C132" s="86" t="s">
        <v>32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13</v>
      </c>
      <c r="B134" s="43">
        <v>8</v>
      </c>
      <c r="C134" s="44" t="s">
        <v>22</v>
      </c>
      <c r="D134" s="53">
        <f>$D$115+7</f>
        <v>45581</v>
      </c>
    </row>
    <row r="135" spans="1:4" ht="27.75" thickBot="1" x14ac:dyDescent="0.3">
      <c r="A135" s="45" t="s">
        <v>3</v>
      </c>
      <c r="B135" s="46" t="s">
        <v>14</v>
      </c>
      <c r="C135" s="45" t="s">
        <v>6</v>
      </c>
      <c r="D135" s="45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21</v>
      </c>
      <c r="B151" s="47">
        <f>SUM(B136:B150)</f>
        <v>0</v>
      </c>
      <c r="C151" s="86" t="s">
        <v>32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13</v>
      </c>
      <c r="B153" s="43">
        <v>9</v>
      </c>
      <c r="C153" s="44" t="s">
        <v>22</v>
      </c>
      <c r="D153" s="53">
        <f>$D$134+7</f>
        <v>45588</v>
      </c>
    </row>
    <row r="154" spans="1:4" ht="27.75" thickBot="1" x14ac:dyDescent="0.3">
      <c r="A154" s="45" t="s">
        <v>3</v>
      </c>
      <c r="B154" s="46" t="s">
        <v>14</v>
      </c>
      <c r="C154" s="45" t="s">
        <v>6</v>
      </c>
      <c r="D154" s="45" t="s">
        <v>12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21</v>
      </c>
      <c r="B170" s="47">
        <f>SUM(B155:B169)</f>
        <v>0</v>
      </c>
      <c r="C170" s="86" t="s">
        <v>32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13</v>
      </c>
      <c r="B172" s="43">
        <v>10</v>
      </c>
      <c r="C172" s="44" t="s">
        <v>22</v>
      </c>
      <c r="D172" s="53">
        <f>$D$153+7</f>
        <v>45595</v>
      </c>
    </row>
    <row r="173" spans="1:4" ht="27.75" thickBot="1" x14ac:dyDescent="0.3">
      <c r="A173" s="45" t="s">
        <v>3</v>
      </c>
      <c r="B173" s="46" t="s">
        <v>14</v>
      </c>
      <c r="C173" s="45" t="s">
        <v>6</v>
      </c>
      <c r="D173" s="45" t="s">
        <v>12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21</v>
      </c>
      <c r="B189" s="47">
        <f>SUM(B174:B188)</f>
        <v>0</v>
      </c>
      <c r="C189" s="86" t="s">
        <v>32</v>
      </c>
      <c r="D189" s="48"/>
    </row>
    <row r="190" spans="1:4" ht="14.25" x14ac:dyDescent="0.3">
      <c r="A190" s="49"/>
      <c r="B190" s="49"/>
      <c r="C190" s="49"/>
      <c r="D190" s="49"/>
    </row>
    <row r="191" spans="1:4" x14ac:dyDescent="0.25">
      <c r="A191" s="87" t="s">
        <v>33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95138A2D-3AFB-4FE3-8930-CCA2CB3763F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85B3C121-6D01-4759-ABCB-A972B07ED53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9973B4DD-7ACC-4282-8FF4-6593D2EAA410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E40394AF-E2E0-40C8-971C-141A949FDEA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43FA5-824E-42FF-AEA1-9185C86D626F}">
  <sheetPr codeName="Feuil5"/>
  <dimension ref="A1:H141"/>
  <sheetViews>
    <sheetView topLeftCell="A45" workbookViewId="0">
      <selection activeCell="C60" sqref="C6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2" customFormat="1" ht="27" x14ac:dyDescent="0.25">
      <c r="A3" s="5" t="s">
        <v>28</v>
      </c>
      <c r="B3" s="4">
        <v>3</v>
      </c>
      <c r="C3" s="88" t="s">
        <v>37</v>
      </c>
      <c r="D3" s="9"/>
    </row>
    <row r="4" spans="1:4" s="52" customFormat="1" x14ac:dyDescent="0.25">
      <c r="A4" s="1" t="s">
        <v>40</v>
      </c>
      <c r="B4" s="2">
        <v>6</v>
      </c>
      <c r="C4" s="89" t="s">
        <v>41</v>
      </c>
      <c r="D4" s="10"/>
    </row>
    <row r="5" spans="1:4" s="52" customFormat="1" x14ac:dyDescent="0.25">
      <c r="A5" s="1" t="s">
        <v>31</v>
      </c>
      <c r="B5" s="2">
        <v>2</v>
      </c>
      <c r="C5" s="89" t="s">
        <v>39</v>
      </c>
      <c r="D5" s="10"/>
    </row>
    <row r="6" spans="1:4" s="52" customFormat="1" x14ac:dyDescent="0.25">
      <c r="A6" s="1" t="s">
        <v>28</v>
      </c>
      <c r="B6" s="2">
        <v>6</v>
      </c>
      <c r="C6" s="89" t="s">
        <v>38</v>
      </c>
      <c r="D6" s="10"/>
    </row>
    <row r="7" spans="1:4" s="52" customFormat="1" x14ac:dyDescent="0.25">
      <c r="A7" s="1" t="s">
        <v>29</v>
      </c>
      <c r="B7" s="2">
        <v>4</v>
      </c>
      <c r="C7" s="89" t="s">
        <v>41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21</v>
      </c>
      <c r="C13" s="91" t="s">
        <v>32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14</v>
      </c>
      <c r="C16" s="8" t="s">
        <v>6</v>
      </c>
      <c r="D16" s="8" t="s">
        <v>12</v>
      </c>
    </row>
    <row r="17" spans="1:8" x14ac:dyDescent="0.25">
      <c r="A17" s="5" t="s">
        <v>40</v>
      </c>
      <c r="B17" s="4">
        <v>8</v>
      </c>
      <c r="C17" s="88" t="s">
        <v>43</v>
      </c>
      <c r="D17" s="9"/>
    </row>
    <row r="18" spans="1:8" x14ac:dyDescent="0.25">
      <c r="A18" s="1" t="s">
        <v>29</v>
      </c>
      <c r="B18" s="2">
        <v>8</v>
      </c>
      <c r="C18" s="89" t="s">
        <v>44</v>
      </c>
      <c r="D18" s="10"/>
    </row>
    <row r="19" spans="1:8" x14ac:dyDescent="0.25">
      <c r="A19" s="1" t="s">
        <v>30</v>
      </c>
      <c r="B19" s="2">
        <v>8</v>
      </c>
      <c r="C19" s="89" t="s">
        <v>42</v>
      </c>
      <c r="D19" s="10"/>
    </row>
    <row r="20" spans="1:8" ht="12.75" customHeight="1" x14ac:dyDescent="0.25">
      <c r="A20" s="1" t="s">
        <v>28</v>
      </c>
      <c r="B20" s="2">
        <v>3</v>
      </c>
      <c r="C20" s="89" t="s">
        <v>45</v>
      </c>
      <c r="D20" s="10"/>
      <c r="F20" s="31"/>
      <c r="G20" s="32"/>
      <c r="H20" s="33"/>
    </row>
    <row r="21" spans="1:8" ht="15" x14ac:dyDescent="0.25">
      <c r="A21" s="1" t="s">
        <v>28</v>
      </c>
      <c r="B21" s="2">
        <v>3</v>
      </c>
      <c r="C21" s="89" t="s">
        <v>46</v>
      </c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21</v>
      </c>
      <c r="B27" s="12">
        <f>SUM(B17:B26)</f>
        <v>30</v>
      </c>
      <c r="C27" s="91" t="s">
        <v>32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13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14</v>
      </c>
      <c r="C30" s="8" t="s">
        <v>6</v>
      </c>
      <c r="D30" s="8" t="s">
        <v>12</v>
      </c>
      <c r="F30" s="38"/>
      <c r="G30" s="39"/>
      <c r="H30" s="39"/>
    </row>
    <row r="31" spans="1:8" ht="14.25" x14ac:dyDescent="0.3">
      <c r="A31" s="5" t="s">
        <v>40</v>
      </c>
      <c r="B31" s="4">
        <v>8</v>
      </c>
      <c r="C31" s="88" t="s">
        <v>47</v>
      </c>
      <c r="D31" s="9"/>
      <c r="F31" s="40"/>
      <c r="G31" s="40"/>
      <c r="H31" s="40"/>
    </row>
    <row r="32" spans="1:8" x14ac:dyDescent="0.25">
      <c r="A32" s="1" t="s">
        <v>29</v>
      </c>
      <c r="B32" s="2">
        <v>8</v>
      </c>
      <c r="C32" s="89" t="s">
        <v>48</v>
      </c>
      <c r="D32" s="10"/>
    </row>
    <row r="33" spans="1:4" x14ac:dyDescent="0.25">
      <c r="A33" s="1" t="s">
        <v>30</v>
      </c>
      <c r="B33" s="2">
        <v>8</v>
      </c>
      <c r="C33" s="10"/>
      <c r="D33" s="10"/>
    </row>
    <row r="34" spans="1:4" x14ac:dyDescent="0.25">
      <c r="A34" s="1" t="s">
        <v>28</v>
      </c>
      <c r="B34" s="2">
        <v>3</v>
      </c>
      <c r="C34" s="89" t="s">
        <v>49</v>
      </c>
      <c r="D34" s="10"/>
    </row>
    <row r="35" spans="1:4" x14ac:dyDescent="0.25">
      <c r="A35" s="1" t="s">
        <v>28</v>
      </c>
      <c r="B35" s="2">
        <v>3</v>
      </c>
      <c r="C35" s="89" t="s">
        <v>46</v>
      </c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21</v>
      </c>
      <c r="B41" s="12">
        <f>SUM(B31:B40)</f>
        <v>30</v>
      </c>
      <c r="C41" s="91" t="s">
        <v>32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13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14</v>
      </c>
      <c r="C44" s="8" t="s">
        <v>6</v>
      </c>
      <c r="D44" s="8" t="s">
        <v>12</v>
      </c>
    </row>
    <row r="45" spans="1:4" x14ac:dyDescent="0.25">
      <c r="A45" s="5" t="s">
        <v>29</v>
      </c>
      <c r="B45" s="4">
        <v>8</v>
      </c>
      <c r="C45" s="88" t="s">
        <v>50</v>
      </c>
      <c r="D45" s="9"/>
    </row>
    <row r="46" spans="1:4" x14ac:dyDescent="0.25">
      <c r="A46" s="1" t="s">
        <v>30</v>
      </c>
      <c r="B46" s="2">
        <v>8</v>
      </c>
      <c r="C46" s="10"/>
      <c r="D46" s="10"/>
    </row>
    <row r="47" spans="1:4" x14ac:dyDescent="0.25">
      <c r="A47" s="1" t="s">
        <v>40</v>
      </c>
      <c r="B47" s="2">
        <v>8</v>
      </c>
      <c r="C47" s="89" t="s">
        <v>51</v>
      </c>
      <c r="D47" s="10"/>
    </row>
    <row r="48" spans="1:4" x14ac:dyDescent="0.25">
      <c r="A48" s="1" t="s">
        <v>28</v>
      </c>
      <c r="B48" s="2">
        <v>3</v>
      </c>
      <c r="C48" s="89" t="s">
        <v>49</v>
      </c>
      <c r="D48" s="10"/>
    </row>
    <row r="49" spans="1:4" x14ac:dyDescent="0.25">
      <c r="A49" s="1" t="s">
        <v>28</v>
      </c>
      <c r="B49" s="2">
        <v>3</v>
      </c>
      <c r="C49" s="89" t="s">
        <v>46</v>
      </c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30</v>
      </c>
      <c r="C55" s="91" t="s">
        <v>32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14</v>
      </c>
      <c r="C58" s="8" t="s">
        <v>6</v>
      </c>
      <c r="D58" s="8" t="s">
        <v>12</v>
      </c>
    </row>
    <row r="59" spans="1:4" x14ac:dyDescent="0.25">
      <c r="A59" s="90" t="s">
        <v>29</v>
      </c>
      <c r="B59" s="4">
        <v>8</v>
      </c>
      <c r="C59" s="88" t="s">
        <v>55</v>
      </c>
      <c r="D59" s="9"/>
    </row>
    <row r="60" spans="1:4" x14ac:dyDescent="0.25">
      <c r="A60" s="1" t="s">
        <v>30</v>
      </c>
      <c r="B60" s="2"/>
      <c r="C60" s="10"/>
      <c r="D60" s="10"/>
    </row>
    <row r="61" spans="1:4" x14ac:dyDescent="0.25">
      <c r="A61" s="1" t="s">
        <v>40</v>
      </c>
      <c r="B61" s="2"/>
      <c r="C61" s="10"/>
      <c r="D61" s="10"/>
    </row>
    <row r="62" spans="1:4" x14ac:dyDescent="0.25">
      <c r="A62" s="1" t="s">
        <v>28</v>
      </c>
      <c r="B62" s="2"/>
      <c r="C62" s="10"/>
      <c r="D62" s="10"/>
    </row>
    <row r="63" spans="1:4" x14ac:dyDescent="0.25">
      <c r="A63" s="1" t="s">
        <v>28</v>
      </c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8</v>
      </c>
      <c r="C69" s="91" t="s">
        <v>32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14</v>
      </c>
      <c r="C72" s="8" t="s">
        <v>6</v>
      </c>
      <c r="D72" s="8" t="s">
        <v>12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0</v>
      </c>
      <c r="C83" s="91" t="s">
        <v>32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14</v>
      </c>
      <c r="C86" s="8" t="s">
        <v>6</v>
      </c>
      <c r="D86" s="8" t="s">
        <v>12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0</v>
      </c>
      <c r="C97" s="91" t="s">
        <v>32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0</v>
      </c>
      <c r="C111" s="91" t="s">
        <v>32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13</v>
      </c>
      <c r="B113" s="7">
        <v>9</v>
      </c>
      <c r="C113" s="17"/>
      <c r="D113" s="85"/>
    </row>
    <row r="114" spans="1:4" ht="27.75" thickBot="1" x14ac:dyDescent="0.3">
      <c r="A114" s="8" t="s">
        <v>3</v>
      </c>
      <c r="B114" s="18" t="s">
        <v>14</v>
      </c>
      <c r="C114" s="8" t="s">
        <v>6</v>
      </c>
      <c r="D114" s="8" t="s">
        <v>12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21</v>
      </c>
      <c r="B125" s="12">
        <f>SUM(B115:B124)</f>
        <v>0</v>
      </c>
      <c r="C125" s="91" t="s">
        <v>32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13</v>
      </c>
      <c r="B127" s="7">
        <v>10</v>
      </c>
      <c r="C127" s="17"/>
      <c r="D127" s="85"/>
    </row>
    <row r="128" spans="1:4" ht="27.75" thickBot="1" x14ac:dyDescent="0.3">
      <c r="A128" s="8" t="s">
        <v>3</v>
      </c>
      <c r="B128" s="18" t="s">
        <v>14</v>
      </c>
      <c r="C128" s="8" t="s">
        <v>6</v>
      </c>
      <c r="D128" s="8" t="s">
        <v>12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21</v>
      </c>
      <c r="B139" s="12">
        <f>SUM(B129:B138)</f>
        <v>0</v>
      </c>
      <c r="C139" s="91" t="s">
        <v>32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87" t="s">
        <v>33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F4E2B8FA-82A6-4195-A867-A890873247C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FBE38324-EF03-453D-B6A2-81C45C8115D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BE5E418E-149C-4DAF-91BF-A30495762F7E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647A47FC-A97D-4462-A1B0-7802BE82A57C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3" ma:contentTypeDescription="Crée un document." ma:contentTypeScope="" ma:versionID="428a67bf6f341cc20b129d6ead09f800">
  <xsd:schema xmlns:xsd="http://www.w3.org/2001/XMLSchema" xmlns:xs="http://www.w3.org/2001/XMLSchema" xmlns:p="http://schemas.microsoft.com/office/2006/metadata/properties" xmlns:ns2="99ffe1f3-7857-457f-add0-5bdef636f38d" targetNamespace="http://schemas.microsoft.com/office/2006/metadata/properties" ma:root="true" ma:fieldsID="2463798d45d9f126bcf7449a921263da" ns2:_="">
    <xsd:import namespace="99ffe1f3-7857-457f-add0-5bdef636f38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77A6C8-6DAD-4B68-9E62-F702DEC3ED5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E2DE16E-A9A4-4494-A12E-1545E36257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22ED14A-152C-4DBE-9A8F-550CC865A443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Charles-Henri Moser</dc:creator>
  <cp:lastModifiedBy>Charles-Henri Pascal Moser</cp:lastModifiedBy>
  <cp:lastPrinted>2013-08-29T11:33:15Z</cp:lastPrinted>
  <dcterms:created xsi:type="dcterms:W3CDTF">1996-10-21T11:03:58Z</dcterms:created>
  <dcterms:modified xsi:type="dcterms:W3CDTF">2024-09-11T09:24:36Z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